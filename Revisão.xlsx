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Medeiros\Documents\Observatório da Discriminação Racial no Futebol\Relatórios\Histórico\"/>
    </mc:Choice>
  </mc:AlternateContent>
  <xr:revisionPtr revIDLastSave="0" documentId="13_ncr:1_{8617BEC2-5A34-4A73-8278-2236D91917C9}" xr6:coauthVersionLast="47" xr6:coauthVersionMax="47" xr10:uidLastSave="{00000000-0000-0000-0000-000000000000}"/>
  <bookViews>
    <workbookView xWindow="-120" yWindow="-120" windowWidth="29040" windowHeight="15840" xr2:uid="{FC28527D-B1D9-44B6-A195-C2213D311462}"/>
  </bookViews>
  <sheets>
    <sheet name="Geral" sheetId="1" r:id="rId1"/>
    <sheet name="Local" sheetId="2" r:id="rId2"/>
    <sheet name="Estados" sheetId="3" r:id="rId3"/>
    <sheet name="Região" sheetId="4" r:id="rId4"/>
    <sheet name="Julgamentos" sheetId="5" r:id="rId5"/>
    <sheet name="Conmebol" sheetId="6" r:id="rId6"/>
    <sheet name="Gênero" sheetId="7" r:id="rId7"/>
    <sheet name="Competições" sheetId="8" r:id="rId8"/>
    <sheet name="DADOS" sheetId="9" r:id="rId9"/>
    <sheet name="Planilha1" sheetId="10" r:id="rId10"/>
  </sheets>
  <definedNames>
    <definedName name="_xlnm._FilterDatabase" localSheetId="8" hidden="1">DADOS!$B$1:$AC$1</definedName>
    <definedName name="_xlnm._FilterDatabase" localSheetId="9" hidden="1">Planilha1!$A$1:$F$1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T16" i="2" l="1"/>
  <c r="T15" i="2"/>
  <c r="T14" i="2"/>
  <c r="T13" i="2"/>
  <c r="U25" i="5"/>
  <c r="O9" i="1"/>
  <c r="N14" i="6"/>
  <c r="M29" i="5"/>
  <c r="M31" i="5"/>
  <c r="Z14" i="5"/>
  <c r="Y14" i="5"/>
  <c r="X14" i="5"/>
  <c r="W14" i="5"/>
  <c r="V14" i="5"/>
  <c r="U14" i="5"/>
  <c r="T14" i="5"/>
  <c r="S14" i="5"/>
  <c r="R14" i="5"/>
  <c r="Q14" i="5"/>
  <c r="P14" i="5"/>
  <c r="AA13" i="5"/>
  <c r="AA12" i="5"/>
  <c r="N31" i="3"/>
  <c r="N7" i="7"/>
  <c r="N3" i="7"/>
  <c r="N2" i="7"/>
  <c r="C4" i="7"/>
  <c r="D4" i="7"/>
  <c r="E4" i="7"/>
  <c r="F4" i="7"/>
  <c r="G4" i="7"/>
  <c r="H4" i="7"/>
  <c r="I4" i="7"/>
  <c r="J4" i="7"/>
  <c r="K4" i="7"/>
  <c r="L4" i="7"/>
  <c r="M4" i="7"/>
  <c r="B4" i="7"/>
  <c r="N4" i="6"/>
  <c r="N2" i="6"/>
  <c r="N9" i="4"/>
  <c r="K7" i="4"/>
  <c r="L7" i="4"/>
  <c r="M7" i="4"/>
  <c r="N6" i="4"/>
  <c r="N5" i="4"/>
  <c r="N4" i="4"/>
  <c r="N3" i="4"/>
  <c r="N2" i="4"/>
  <c r="M4" i="5"/>
  <c r="P4" i="5" s="1"/>
  <c r="M3" i="5"/>
  <c r="P3" i="5" s="1"/>
  <c r="K5" i="5"/>
  <c r="L5" i="5"/>
  <c r="C5" i="5"/>
  <c r="D5" i="5"/>
  <c r="E5" i="5"/>
  <c r="F5" i="5"/>
  <c r="G5" i="5"/>
  <c r="H5" i="5"/>
  <c r="I5" i="5"/>
  <c r="J5" i="5"/>
  <c r="B5" i="5"/>
  <c r="C7" i="4"/>
  <c r="D7" i="4"/>
  <c r="E7" i="4"/>
  <c r="F7" i="4"/>
  <c r="G7" i="4"/>
  <c r="H7" i="4"/>
  <c r="I7" i="4"/>
  <c r="J7" i="4"/>
  <c r="B7" i="4"/>
  <c r="N4" i="7" l="1"/>
  <c r="O2" i="7" s="1"/>
  <c r="AA14" i="5"/>
  <c r="AB13" i="5" s="1"/>
  <c r="N7" i="4"/>
  <c r="P5" i="5"/>
  <c r="M5" i="5"/>
  <c r="AC31" i="3"/>
  <c r="AG29" i="3"/>
  <c r="AB29" i="3"/>
  <c r="AA29" i="3"/>
  <c r="Z29" i="3"/>
  <c r="Y29" i="3"/>
  <c r="X29" i="3"/>
  <c r="W29" i="3"/>
  <c r="V29" i="3"/>
  <c r="U29" i="3"/>
  <c r="T29" i="3"/>
  <c r="S29" i="3"/>
  <c r="R29" i="3"/>
  <c r="Q29" i="3"/>
  <c r="AC28" i="3"/>
  <c r="AC27" i="3"/>
  <c r="AC26" i="3"/>
  <c r="AC25" i="3"/>
  <c r="AC24" i="3"/>
  <c r="AC23" i="3"/>
  <c r="AC22" i="3"/>
  <c r="AC21" i="3"/>
  <c r="AC20" i="3"/>
  <c r="AC19" i="3"/>
  <c r="AC18" i="3"/>
  <c r="AC17" i="3"/>
  <c r="AC16" i="3"/>
  <c r="AC15" i="3"/>
  <c r="AC14" i="3"/>
  <c r="AC13" i="3"/>
  <c r="AC12" i="3"/>
  <c r="AC11" i="3"/>
  <c r="AC10" i="3"/>
  <c r="AC9" i="3"/>
  <c r="AC8" i="3"/>
  <c r="AI7" i="3"/>
  <c r="AC7" i="3"/>
  <c r="AI6" i="3"/>
  <c r="AC6" i="3"/>
  <c r="AI5" i="3"/>
  <c r="AC5" i="3"/>
  <c r="AC4" i="3"/>
  <c r="AI8" i="3" s="1"/>
  <c r="AC3" i="3"/>
  <c r="AC2" i="3"/>
  <c r="AI9" i="3" s="1"/>
  <c r="O3" i="7" l="1"/>
  <c r="AB12" i="5"/>
  <c r="O3" i="4"/>
  <c r="O6" i="4"/>
  <c r="O4" i="4"/>
  <c r="O5" i="4"/>
  <c r="Q4" i="4"/>
  <c r="O2" i="4"/>
  <c r="Q3" i="5"/>
  <c r="Q4" i="5"/>
  <c r="AI10" i="3"/>
  <c r="AC29" i="3"/>
  <c r="M29" i="3"/>
  <c r="L29" i="3"/>
  <c r="K29" i="3"/>
  <c r="J29" i="3"/>
  <c r="I29" i="3"/>
  <c r="H29" i="3"/>
  <c r="G29" i="3"/>
  <c r="F29" i="3"/>
  <c r="E29" i="3"/>
  <c r="D29" i="3"/>
  <c r="C29" i="3"/>
  <c r="B29" i="3"/>
  <c r="N28" i="3"/>
  <c r="N27" i="3"/>
  <c r="N26" i="3"/>
  <c r="N25" i="3"/>
  <c r="N24" i="3"/>
  <c r="N23" i="3"/>
  <c r="N22" i="3"/>
  <c r="N21" i="3"/>
  <c r="N20" i="3"/>
  <c r="N19" i="3"/>
  <c r="N18" i="3"/>
  <c r="N17" i="3"/>
  <c r="N16" i="3"/>
  <c r="N15" i="3"/>
  <c r="N14" i="3"/>
  <c r="N13" i="3"/>
  <c r="N12" i="3"/>
  <c r="N11" i="3"/>
  <c r="N10" i="3"/>
  <c r="N9" i="3"/>
  <c r="N8" i="3"/>
  <c r="N7" i="3"/>
  <c r="N6" i="3"/>
  <c r="N5" i="3"/>
  <c r="N4" i="3"/>
  <c r="N3" i="3"/>
  <c r="N2" i="3"/>
  <c r="O7" i="4" l="1"/>
  <c r="N29" i="3"/>
  <c r="O25" i="3" l="1"/>
  <c r="O21" i="3"/>
  <c r="O16" i="3"/>
  <c r="O13" i="3"/>
  <c r="O9" i="3"/>
  <c r="O5" i="3"/>
  <c r="O24" i="3"/>
  <c r="O20" i="3"/>
  <c r="O12" i="3"/>
  <c r="O8" i="3"/>
  <c r="O4" i="3"/>
  <c r="O23" i="3"/>
  <c r="O19" i="3"/>
  <c r="O15" i="3"/>
  <c r="O11" i="3"/>
  <c r="O7" i="3"/>
  <c r="O3" i="3"/>
  <c r="O22" i="3"/>
  <c r="O18" i="3"/>
  <c r="O14" i="3"/>
  <c r="O10" i="3"/>
  <c r="O6" i="3"/>
  <c r="O2" i="3"/>
  <c r="O28" i="3"/>
  <c r="O27" i="3"/>
  <c r="O26" i="3"/>
  <c r="O17" i="3"/>
  <c r="O4" i="2"/>
  <c r="O5" i="2"/>
  <c r="O3" i="2"/>
  <c r="D6" i="2"/>
  <c r="E6" i="2"/>
  <c r="F6" i="2"/>
  <c r="G6" i="2"/>
  <c r="H6" i="2"/>
  <c r="I6" i="2"/>
  <c r="J6" i="2"/>
  <c r="K6" i="2"/>
  <c r="L6" i="2"/>
  <c r="M6" i="2"/>
  <c r="N6" i="2"/>
  <c r="C6" i="2"/>
  <c r="O5" i="1"/>
  <c r="O3" i="1"/>
  <c r="O29" i="3" l="1"/>
  <c r="O6" i="2"/>
  <c r="P5" i="2" l="1"/>
  <c r="P4" i="2"/>
  <c r="P3" i="2"/>
  <c r="P6" i="2" l="1"/>
</calcChain>
</file>

<file path=xl/sharedStrings.xml><?xml version="1.0" encoding="utf-8"?>
<sst xmlns="http://schemas.openxmlformats.org/spreadsheetml/2006/main" count="6063" uniqueCount="1833">
  <si>
    <t>TOTAL</t>
  </si>
  <si>
    <t>LOCAL</t>
  </si>
  <si>
    <t>Estádios</t>
  </si>
  <si>
    <t>Internet</t>
  </si>
  <si>
    <t>Outros Espaços</t>
  </si>
  <si>
    <t>RS</t>
  </si>
  <si>
    <t>SP</t>
  </si>
  <si>
    <t>MG</t>
  </si>
  <si>
    <t>RJ</t>
  </si>
  <si>
    <t>PR</t>
  </si>
  <si>
    <t>GO</t>
  </si>
  <si>
    <t>SC</t>
  </si>
  <si>
    <t>PB</t>
  </si>
  <si>
    <t>CE</t>
  </si>
  <si>
    <t>AM</t>
  </si>
  <si>
    <t>BA</t>
  </si>
  <si>
    <t>PE</t>
  </si>
  <si>
    <t>MS</t>
  </si>
  <si>
    <t>PI</t>
  </si>
  <si>
    <t>MT</t>
  </si>
  <si>
    <t>AL</t>
  </si>
  <si>
    <t>PA</t>
  </si>
  <si>
    <t>ES</t>
  </si>
  <si>
    <t>DF</t>
  </si>
  <si>
    <t>RN</t>
  </si>
  <si>
    <t>MA</t>
  </si>
  <si>
    <t>SE</t>
  </si>
  <si>
    <t>AC</t>
  </si>
  <si>
    <t>TO</t>
  </si>
  <si>
    <t>RO</t>
  </si>
  <si>
    <t>AP</t>
  </si>
  <si>
    <t>RR</t>
  </si>
  <si>
    <t>ESTADOS</t>
  </si>
  <si>
    <t>Ex</t>
  </si>
  <si>
    <t>Atual</t>
  </si>
  <si>
    <t>REGIÃO</t>
  </si>
  <si>
    <t>NORTE</t>
  </si>
  <si>
    <t>NORDESTE</t>
  </si>
  <si>
    <t>CENTRO-OESTE</t>
  </si>
  <si>
    <t>SUDESTE</t>
  </si>
  <si>
    <t>SUL</t>
  </si>
  <si>
    <t>Outros</t>
  </si>
  <si>
    <t>1 - Peru</t>
  </si>
  <si>
    <t>ESTÁDIOS</t>
  </si>
  <si>
    <t>1 - Uruguai</t>
  </si>
  <si>
    <t>2 - Argentina</t>
  </si>
  <si>
    <t>1 - Paraguai</t>
  </si>
  <si>
    <t>6 - Argentina</t>
  </si>
  <si>
    <t>1 - Bolivia</t>
  </si>
  <si>
    <t>Centro-Oeste</t>
  </si>
  <si>
    <t>Nordeste</t>
  </si>
  <si>
    <t>Norte</t>
  </si>
  <si>
    <t>Sudeste</t>
  </si>
  <si>
    <t>Sul</t>
  </si>
  <si>
    <t>Exterior</t>
  </si>
  <si>
    <t>PUNIDOS</t>
  </si>
  <si>
    <t>ABSOLVIDOS</t>
  </si>
  <si>
    <t>Conmebol</t>
  </si>
  <si>
    <t>TJDRS</t>
  </si>
  <si>
    <t>TJDRN</t>
  </si>
  <si>
    <t>TJDSP</t>
  </si>
  <si>
    <t>STJD</t>
  </si>
  <si>
    <t>TJDRJ</t>
  </si>
  <si>
    <t>SJTD</t>
  </si>
  <si>
    <t>3 - Uruguai</t>
  </si>
  <si>
    <t>1 - Argentina</t>
  </si>
  <si>
    <t>1 - Brasil</t>
  </si>
  <si>
    <t>3 - Brasil</t>
  </si>
  <si>
    <t>2 - Brasil</t>
  </si>
  <si>
    <t>4 - Brasil</t>
  </si>
  <si>
    <t>GÊNERO</t>
  </si>
  <si>
    <t>Masculino</t>
  </si>
  <si>
    <t>Feminino</t>
  </si>
  <si>
    <t>%</t>
  </si>
  <si>
    <t>COMPETIÇÕES</t>
  </si>
  <si>
    <t>Nacionais</t>
  </si>
  <si>
    <t>Revisão</t>
  </si>
  <si>
    <t>TJD-ES</t>
  </si>
  <si>
    <t>TJDTO</t>
  </si>
  <si>
    <t>TJDMG</t>
  </si>
  <si>
    <t>TJDMT</t>
  </si>
  <si>
    <t>TJD-SC</t>
  </si>
  <si>
    <t>TJD - Sorocaba</t>
  </si>
  <si>
    <t>TJD -PR</t>
  </si>
  <si>
    <t>TJD-RS</t>
  </si>
  <si>
    <t>TJD-AM</t>
  </si>
  <si>
    <t>TJD-SP</t>
  </si>
  <si>
    <t>TJD-RJ</t>
  </si>
  <si>
    <t>TJD-PI</t>
  </si>
  <si>
    <t>TJD-GO</t>
  </si>
  <si>
    <t>TJD-DF</t>
  </si>
  <si>
    <t>TJD-MS</t>
  </si>
  <si>
    <t>1 - Bolívia</t>
  </si>
  <si>
    <t xml:space="preserve"> </t>
  </si>
  <si>
    <t>BRASIL</t>
  </si>
  <si>
    <t>CONMEBOL</t>
  </si>
  <si>
    <t>GERAL</t>
  </si>
  <si>
    <t>2 - Paraguai</t>
  </si>
  <si>
    <t>1 - Equador</t>
  </si>
  <si>
    <t>4 - Argentina</t>
  </si>
  <si>
    <t>1 - Chile</t>
  </si>
  <si>
    <t>1 - Colômbia</t>
  </si>
  <si>
    <t>5 - Argentina</t>
  </si>
  <si>
    <t>3 - Paraguai</t>
  </si>
  <si>
    <t>1 - Venezuela</t>
  </si>
  <si>
    <t>10 - Brasil</t>
  </si>
  <si>
    <t>JULGADOS</t>
  </si>
  <si>
    <t>Número</t>
  </si>
  <si>
    <t>Data</t>
  </si>
  <si>
    <t>Nome</t>
  </si>
  <si>
    <t>Jogo</t>
  </si>
  <si>
    <t>Estádio</t>
  </si>
  <si>
    <t>Cidade</t>
  </si>
  <si>
    <t>Estado</t>
  </si>
  <si>
    <t>Região</t>
  </si>
  <si>
    <t>País</t>
  </si>
  <si>
    <t>Competição</t>
  </si>
  <si>
    <t>Gênero</t>
  </si>
  <si>
    <t>Local</t>
  </si>
  <si>
    <t>Categoria</t>
  </si>
  <si>
    <t>Espaço</t>
  </si>
  <si>
    <t>Fato</t>
  </si>
  <si>
    <t>Desfecho</t>
  </si>
  <si>
    <t>Boletim de Ocorrência</t>
  </si>
  <si>
    <t>Súmula</t>
  </si>
  <si>
    <t>Punição Justiça comum</t>
  </si>
  <si>
    <t>Julgamento Justiça Desportiva</t>
  </si>
  <si>
    <t>Punição Justiça Desportiva</t>
  </si>
  <si>
    <t>Orgão de Justiça Desportiva</t>
  </si>
  <si>
    <t>Agressor Identificado</t>
  </si>
  <si>
    <t>Nome Agressor</t>
  </si>
  <si>
    <t>Decisão Justiça Desportiva</t>
  </si>
  <si>
    <t>Quem punido ou absolvido</t>
  </si>
  <si>
    <t>Link</t>
  </si>
  <si>
    <t>000/2014</t>
  </si>
  <si>
    <t>Atletas do São Francisco</t>
  </si>
  <si>
    <t>São Francisco x Ferroviária</t>
  </si>
  <si>
    <t>Fonte Luminosa</t>
  </si>
  <si>
    <t>Araraquara</t>
  </si>
  <si>
    <t>Brasil</t>
  </si>
  <si>
    <t>Copa do Brasil</t>
  </si>
  <si>
    <t>Profissional</t>
  </si>
  <si>
    <t>Torcida</t>
  </si>
  <si>
    <t>O treinador, Mário Augusto, diz que a equipe foi vítima de racismo no estádio da Fonte Luminosa.</t>
  </si>
  <si>
    <t>Não temos informação</t>
  </si>
  <si>
    <t>Não</t>
  </si>
  <si>
    <t>https://www.ibahia.com/esportes/time-baiano-e-vitima-de-racismo-na-copa-br-de-futebol-feminino</t>
  </si>
  <si>
    <t>001/2014</t>
  </si>
  <si>
    <t>Paulo César Tinga</t>
  </si>
  <si>
    <t>Real Garcilaso x Cruzeiro</t>
  </si>
  <si>
    <t>Inca Garcilaso de la Vega</t>
  </si>
  <si>
    <t>Cusco</t>
  </si>
  <si>
    <t>ND</t>
  </si>
  <si>
    <t>Peru</t>
  </si>
  <si>
    <t>Libertadores da América</t>
  </si>
  <si>
    <t>Todo momento que O atleta tocava na bola os torcedores imitavam um macaco</t>
  </si>
  <si>
    <t>O Real Garcilaso foi punido com multa de R$ 27,8 mil</t>
  </si>
  <si>
    <t>Sim</t>
  </si>
  <si>
    <t xml:space="preserve">Não </t>
  </si>
  <si>
    <t>A Conmebol multou o clube peruano Real Garcilaso em US$ 12 mil devido a atos racistas cometidos por sua torcida contra o jogador Tinga, do Cruzeiro. O clube também foi advertido com o fechamento do estádio em caso de reincidência.</t>
  </si>
  <si>
    <t>Real Garcilaso</t>
  </si>
  <si>
    <t>https://ge.globo.com/futebol/times/cruzeiro/noticia/2014/03/conmebol-multa-real-garcilaso-por-atos-racistas-tinga-na-libertadores.html</t>
  </si>
  <si>
    <t>002/2014</t>
  </si>
  <si>
    <t>Lúcio</t>
  </si>
  <si>
    <t>Pelotas X São Paulo-RS</t>
  </si>
  <si>
    <t>Boca do Lobo</t>
  </si>
  <si>
    <t>Pelotas</t>
  </si>
  <si>
    <t>Campeonato Gaúcho</t>
  </si>
  <si>
    <t>Chamado de preto vagabundo e macaco por torcedores do Pelotas</t>
  </si>
  <si>
    <t>Torcedor do Pelotas foi preso(não identificado) e proibido de entrar no estadio por 720</t>
  </si>
  <si>
    <t>Não informado</t>
  </si>
  <si>
    <t>Torcedor proibido de entrar no estadio por 720 dias</t>
  </si>
  <si>
    <t>Torcedor não identificado</t>
  </si>
  <si>
    <t>003/2014</t>
  </si>
  <si>
    <t>Dida</t>
  </si>
  <si>
    <t>Alecrim x América -RN</t>
  </si>
  <si>
    <t>Ninho do Periquito</t>
  </si>
  <si>
    <t>São Gonçalo do Amarante</t>
  </si>
  <si>
    <t>Campeonato Potiguar</t>
  </si>
  <si>
    <t>Chamado de macaco por torcedores do Alecrim</t>
  </si>
  <si>
    <t>Alecrim foi punido com 2 mandos de campo e multa de R$20mil</t>
  </si>
  <si>
    <t>Alecrim Futebol Clube</t>
  </si>
  <si>
    <t>004/2014</t>
  </si>
  <si>
    <t>Márcio Chagas</t>
  </si>
  <si>
    <t>Esportivo x Veranópolis</t>
  </si>
  <si>
    <t>Montanha dos Vinhedos</t>
  </si>
  <si>
    <t>Bento Gonçalves</t>
  </si>
  <si>
    <t>Encontrado bananas no carro do Márcio Chagas</t>
  </si>
  <si>
    <t>Esportivo perdeu 9 pontos, recorreu e perdeu 3 pontos</t>
  </si>
  <si>
    <t>O Esportivo foi punido pelo Tribunal de Justiça Desportiva (TJD-RS) com a perda de 9 pontos. Posteriormente, o clube recorreu ao STJD e a pena foi reduzida para a perda de 3 pontos. Além de multa de R$ 60 mil.</t>
  </si>
  <si>
    <t>Clube Esportivo Bento Gonçalves</t>
  </si>
  <si>
    <t>005/2014</t>
  </si>
  <si>
    <t>Arouca</t>
  </si>
  <si>
    <t>Mogi Mirim x Santos</t>
  </si>
  <si>
    <t>Vail Chaves</t>
  </si>
  <si>
    <t>Mogi Mirim</t>
  </si>
  <si>
    <t>Campeonato Paulista</t>
  </si>
  <si>
    <t>Chamado de macaco por torcedores do Mogi Mirim</t>
  </si>
  <si>
    <t>Multa de R$50mil Mogi Mirim</t>
  </si>
  <si>
    <t>O Mogi Mirim foi punido pelo Tribunal de Justiça Desportiva (TJD-SP) com uma multa de R$ 50 mil.</t>
  </si>
  <si>
    <t>Mogi Mirim Esporte Clube</t>
  </si>
  <si>
    <t>006/2014</t>
  </si>
  <si>
    <t>Assis</t>
  </si>
  <si>
    <t>Mamoré x Uberlândia</t>
  </si>
  <si>
    <t>Rubinger de Queiroz</t>
  </si>
  <si>
    <t>Patos de Minas</t>
  </si>
  <si>
    <t>Campeonato Mineiro</t>
  </si>
  <si>
    <t>Chamado de macaco, safado, negro, fedorento por torcedor</t>
  </si>
  <si>
    <t>Torcedor Mamoré foi preso</t>
  </si>
  <si>
    <t>Marcelo Carlos Fernandos</t>
  </si>
  <si>
    <t xml:space="preserve">           </t>
  </si>
  <si>
    <t>007/2014</t>
  </si>
  <si>
    <t>Paulão</t>
  </si>
  <si>
    <t>Grêmio x Internacional</t>
  </si>
  <si>
    <t>Arena do Grêmio</t>
  </si>
  <si>
    <t>Porto Alegre</t>
  </si>
  <si>
    <t>Torcedores do Grêmio fizeram sons de macaco</t>
  </si>
  <si>
    <t>Grêmio foi multado em R$80 mil, recorreu e foi reduzido para R$30mil</t>
  </si>
  <si>
    <t>SIm</t>
  </si>
  <si>
    <t>O Pleno do Superior Tribunal de Justiça Desportiva (STJD) condenou nesta quinta-feira o Grêmio ao pagamento de R$ 30 mil de multa por injúria racial de um de seus torcedores. No TJD-RS o clube foi punido em R$ 80 mil, após recurso a multa acabou reduzida a R$ 10 mil. A procuradoria do tribunal, então, levou o caso ao Pleno do STJD.</t>
  </si>
  <si>
    <t>Grêmio Foot-Ball Porto Alegrense</t>
  </si>
  <si>
    <t>https://www.estadao.com.br/esportes/futebol/stjd-multa-gremio-por-insulto-racista-contra-paulao-em-marco/?srsltid=AfmBOorN7xURH9IP7T0sr1Os1oMXZX1qkde8bOR-dgBHUQBDwAcqy2CN</t>
  </si>
  <si>
    <t>008/2014</t>
  </si>
  <si>
    <t>Marino</t>
  </si>
  <si>
    <t>Paraná x São Bernardo</t>
  </si>
  <si>
    <t>Vila Capanema</t>
  </si>
  <si>
    <t>Curitiba</t>
  </si>
  <si>
    <t>Torcedor do Paraná chamou atleta de macado</t>
  </si>
  <si>
    <t>Paraná foi multado R$30 mil, recorreu e foi reduzido para R$ 15mil</t>
  </si>
  <si>
    <t>O Superior Tribunal de Justiça Desportiva (STJD) decidiu por 4 votos a 2 reduzir pela metade a multa do Paraná pela ofensa racista contra o volante Marino do São Bernardo. A punição que era originalmente de R$ 30 mil caiu para R$ 15 mil.</t>
  </si>
  <si>
    <t>Paraná Clube</t>
  </si>
  <si>
    <t>https://www.gazetadopovo.com.br/esportes/futebol/parana-clube/stjd-reduz-pela-metade-multa-do-parana-por-ofensa-racista-a-volante-do-sao-bernardo-8f3m9xkfrhe4025gm67evsv2m/</t>
  </si>
  <si>
    <t>009/2014</t>
  </si>
  <si>
    <t>Antônio Carlos</t>
  </si>
  <si>
    <t>Bandeirante x Vocem</t>
  </si>
  <si>
    <t>Pedro Marin Berbel</t>
  </si>
  <si>
    <t>Birigui</t>
  </si>
  <si>
    <t>Campeonato Paulista - A2</t>
  </si>
  <si>
    <t xml:space="preserve">Torcedor Bandeirante chamou o treinador de macaco </t>
  </si>
  <si>
    <t>Bandeirante foi multado em R$2mil</t>
  </si>
  <si>
    <t>Bandeirante foi multado em R$ 2mil pelo TJD-SP</t>
  </si>
  <si>
    <t>Bandeirante Esporte Clube</t>
  </si>
  <si>
    <t>010/2014</t>
  </si>
  <si>
    <t>Oliveira</t>
  </si>
  <si>
    <t>Estanciano x Confiança</t>
  </si>
  <si>
    <t>Augusto Franco</t>
  </si>
  <si>
    <t>Estância</t>
  </si>
  <si>
    <t>Campeonato Sergipano</t>
  </si>
  <si>
    <t>Atleta</t>
  </si>
  <si>
    <t>Oliveira Estanciano acusou Leandro  Kivel de cometer ofensas racistas</t>
  </si>
  <si>
    <t>Oliveira foi suspenso por agredir Leandro e não comprovou a ofensa. Leandro não foi punido</t>
  </si>
  <si>
    <t>TJDSE</t>
  </si>
  <si>
    <t>Leandro Kievel</t>
  </si>
  <si>
    <t>011/2014</t>
  </si>
  <si>
    <t>Maicon</t>
  </si>
  <si>
    <t>Londrina x Maringá</t>
  </si>
  <si>
    <t>Willie Davis</t>
  </si>
  <si>
    <t>Londrina</t>
  </si>
  <si>
    <t>Campeonato Paranaense</t>
  </si>
  <si>
    <t>Impresa</t>
  </si>
  <si>
    <t>O radialista Lourival Santos chamou o atleta de macaco</t>
  </si>
  <si>
    <t>Lourival foi preso e afastado do emprego no SBT</t>
  </si>
  <si>
    <t>Lourival Santos</t>
  </si>
  <si>
    <t>012/2014</t>
  </si>
  <si>
    <t>Reinaldo</t>
  </si>
  <si>
    <t>Vila Nova x Luverdensa</t>
  </si>
  <si>
    <t>Serra Dourada</t>
  </si>
  <si>
    <t>Goiás</t>
  </si>
  <si>
    <t>Campeonato Brasileiro B</t>
  </si>
  <si>
    <t>O atleta do Luverdense foi chamado de macado pela torcida do Vila Nova</t>
  </si>
  <si>
    <t>013/2014</t>
  </si>
  <si>
    <t>Baiano</t>
  </si>
  <si>
    <t>Panambi x Garibaldi</t>
  </si>
  <si>
    <t>João Marimon Júnior</t>
  </si>
  <si>
    <t>Panambi</t>
  </si>
  <si>
    <t>Copa Serrana</t>
  </si>
  <si>
    <t>O atleta sofreu ofensa racial pela torcida alviverde</t>
  </si>
  <si>
    <t>014/2014</t>
  </si>
  <si>
    <t>Atletas do Cuiabá</t>
  </si>
  <si>
    <t>Treze-PB x Cuiabá</t>
  </si>
  <si>
    <t>Presidente Vargas</t>
  </si>
  <si>
    <t>Campina Grande</t>
  </si>
  <si>
    <t>Campeonato Brasileiro C</t>
  </si>
  <si>
    <t>Reservas do Cuiabá foram chamados de macacos pela torcida do Treze</t>
  </si>
  <si>
    <t>015/2014</t>
  </si>
  <si>
    <t>Aranha</t>
  </si>
  <si>
    <t>Grêmio x Santos</t>
  </si>
  <si>
    <t>Atleta foi chamado de macaco pela torcida do Grêmio</t>
  </si>
  <si>
    <t>Grêmio foi excluído da competição. Recorreu e perdeu 3 pontos, sendo desclassificado</t>
  </si>
  <si>
    <t>Acordo judicial</t>
  </si>
  <si>
    <r>
      <t>O </t>
    </r>
    <r>
      <rPr>
        <b/>
        <sz val="11"/>
        <color theme="1"/>
        <rFont val="Aptos"/>
        <family val="2"/>
      </rPr>
      <t>Pleno do Superior Tribunal de Justiça Desportiva (STJD)</t>
    </r>
    <r>
      <rPr>
        <sz val="11"/>
        <color theme="1"/>
        <rFont val="Aptos"/>
        <family val="2"/>
      </rPr>
      <t> voltou atrás na exclusão sumária do </t>
    </r>
    <r>
      <rPr>
        <b/>
        <sz val="11"/>
        <color theme="1"/>
        <rFont val="Aptos"/>
        <family val="2"/>
      </rPr>
      <t>Grêmio</t>
    </r>
    <r>
      <rPr>
        <sz val="11"/>
        <color theme="1"/>
        <rFont val="Aptos"/>
        <family val="2"/>
      </rPr>
      <t> na </t>
    </r>
    <r>
      <rPr>
        <b/>
        <sz val="11"/>
        <color theme="1"/>
        <rFont val="Aptos"/>
        <family val="2"/>
      </rPr>
      <t>Copa do Brasil</t>
    </r>
    <r>
      <rPr>
        <sz val="11"/>
        <color theme="1"/>
        <rFont val="Aptos"/>
        <family val="2"/>
      </rPr>
      <t>. Os auditores puniram o clube com a perda de três pontos, e teve mantida a multa de R$ 50 mil.</t>
    </r>
  </si>
  <si>
    <t>https://www.gazetadopovo.com.br/esportes/futebol/stjd-reve-exclusao-mas-elimina-gremio-por-perda-de-pontos-ee4py3gpw9irhbnu8mwvfqwr2/</t>
  </si>
  <si>
    <t>016/2014</t>
  </si>
  <si>
    <t>Igor</t>
  </si>
  <si>
    <t>Tombense x Operário - MT</t>
  </si>
  <si>
    <t>Antônio Guimarães de Almeida</t>
  </si>
  <si>
    <t>Tombo</t>
  </si>
  <si>
    <t>Campeonato Brasileiro D</t>
  </si>
  <si>
    <t>Atleta acusou torcida do Tombense de racismo</t>
  </si>
  <si>
    <t>Não julgando no STJD. Arquivado na justiça comum e Igor foi indiciado por denúncia caluniosa</t>
  </si>
  <si>
    <t>017/2014</t>
  </si>
  <si>
    <t>Jefferson</t>
  </si>
  <si>
    <t xml:space="preserve">Atlético Itapemirim x Desportiva Ferroviária </t>
  </si>
  <si>
    <t>Estádio José Olívio Soares</t>
  </si>
  <si>
    <t>Itapemirim</t>
  </si>
  <si>
    <t>Copa Espírito Santo</t>
  </si>
  <si>
    <t>Amador</t>
  </si>
  <si>
    <t>Comissão técnica</t>
  </si>
  <si>
    <t>O técnico Severino chamou o atleta Jefferson e o maqueiro de macaco. Vevé deixou o estádio do Atlético, em Itapemirim, direto para a prisão.</t>
  </si>
  <si>
    <r>
      <t xml:space="preserve">O Tribunal de Justiça Desportiva do Espírito Santo </t>
    </r>
    <r>
      <rPr>
        <b/>
        <sz val="11"/>
        <color theme="1"/>
        <rFont val="Aptos"/>
        <family val="2"/>
      </rPr>
      <t>absolveu o técnico Vevé, da Desportiva Ferroviária por unanimidade</t>
    </r>
    <r>
      <rPr>
        <sz val="11"/>
        <color theme="1"/>
        <rFont val="Aptos"/>
        <family val="2"/>
      </rPr>
      <t>, devido à falta de provas concretas que sustentassem a denúncia.</t>
    </r>
  </si>
  <si>
    <t>Absolvido</t>
  </si>
  <si>
    <t>Severino Ribeiro, da da Desportiva</t>
  </si>
  <si>
    <r>
      <t xml:space="preserve">O Tribunal de Justiça Desportiva do Espírito Santo </t>
    </r>
    <r>
      <rPr>
        <b/>
        <sz val="11"/>
        <color theme="1"/>
        <rFont val="Aptos"/>
        <family val="2"/>
      </rPr>
      <t>absolveu o técnico por unanimidade</t>
    </r>
    <r>
      <rPr>
        <sz val="11"/>
        <color theme="1"/>
        <rFont val="Aptos"/>
        <family val="2"/>
      </rPr>
      <t>, devido à falta de provas concretas que sustentassem a denúncia.</t>
    </r>
  </si>
  <si>
    <t>Severino da Silva Ribeiro (Vevé), técnico da Desportiva Ferroviária.</t>
  </si>
  <si>
    <t>https://www.lance.com.br/todos-esportes/tjd-absolve-tecnico-desportiva-acusacao-injuria-racial.html</t>
  </si>
  <si>
    <t>018/2014</t>
  </si>
  <si>
    <t>Gil</t>
  </si>
  <si>
    <t>Corinthians x São Paulo</t>
  </si>
  <si>
    <t>Neoquimca Arena</t>
  </si>
  <si>
    <t>Campeonato Brasileiro A</t>
  </si>
  <si>
    <t>Instagram</t>
  </si>
  <si>
    <t>Atleta do Corinthians foi alvo de injúria racial no seu perfil no Instagram</t>
  </si>
  <si>
    <t>Atleta não quis registrar boletim de ocorrências</t>
  </si>
  <si>
    <t>Junior Rodriguez</t>
  </si>
  <si>
    <t>019/2014</t>
  </si>
  <si>
    <t>Francis</t>
  </si>
  <si>
    <t>Avaí x Boa Esporte</t>
  </si>
  <si>
    <t>Ressacada</t>
  </si>
  <si>
    <t>Florianópolis</t>
  </si>
  <si>
    <t>Atleta Boa Esporte foi chamado de macaco pelo atleta Antônio Carlos</t>
  </si>
  <si>
    <t>Antônio Carlos foi punido com 5 jogos e multa de R$10 mil</t>
  </si>
  <si>
    <t>O zagueiro Antônio Carlos, do Avaí, foi punido pelo STJD (Superior Tribunal de Justiça Desportiva) com uma suspensão de cinco partidas e multa de R$ 10 mil.</t>
  </si>
  <si>
    <t>Antônio Carlos, atleta do Avaí.</t>
  </si>
  <si>
    <t>https://www.gazetadopovo.com.br/esportes/futebol/campeonato-brasileiro/stjd-suspende-por-cinco-partidas-zagueiro-do-avai-acusado-de-racismo-eexxz5akyv8gdgsqdagn4zeby/</t>
  </si>
  <si>
    <t>020/2014</t>
  </si>
  <si>
    <t>Victor</t>
  </si>
  <si>
    <t>Votuporanguense x Independente de Limeira</t>
  </si>
  <si>
    <t>Plínio Marin</t>
  </si>
  <si>
    <t>Votuporanga</t>
  </si>
  <si>
    <t>Copa Paulista</t>
  </si>
  <si>
    <t>Atleta do Votuporanguense foi chamada do macaco pelo Atleta Indio do Independente</t>
  </si>
  <si>
    <t>Índio</t>
  </si>
  <si>
    <t>021/2014</t>
  </si>
  <si>
    <t>Bruno Alves</t>
  </si>
  <si>
    <t>Friburguense x Macaé</t>
  </si>
  <si>
    <t>Eduardo Guinle</t>
  </si>
  <si>
    <t>Nova Friburgo</t>
  </si>
  <si>
    <t>Copa Rio</t>
  </si>
  <si>
    <t>O árbitro afirmou que o atleta do Macaé sofreu racismo e registro na súmula</t>
  </si>
  <si>
    <t>O Friburguense perdeu 2 mandos de campo</t>
  </si>
  <si>
    <t>O Friburguense Atlético Clube foi inicialmente punido pelo Tribunal de Justiça Desportiva do Rio de Janeiro com a perda de dois mandos de campo e o pagamento de multa de R$ 10 mil. Após recursos, em decisão do Pleno do TJD-RJ, o clube acabou sendo absolvido da pena desportiva, revertendo a condenação inicial.</t>
  </si>
  <si>
    <t>Friburguense Atlético Clube</t>
  </si>
  <si>
    <t>https://jornaldaregiao.com/friburguense-escapa-de-punicoes-por-suposto-ato-racista/</t>
  </si>
  <si>
    <t>022/2014</t>
  </si>
  <si>
    <t>Paulo Morcos de Jesus Ribeiro(Paulão</t>
  </si>
  <si>
    <t>Internacional x Bahia</t>
  </si>
  <si>
    <t>Beira-rio</t>
  </si>
  <si>
    <t>Torcedores chamara o atleta de macaco e seu preto próximo a sua fámilia</t>
  </si>
  <si>
    <t>Não houve sequência</t>
  </si>
  <si>
    <t>023/2014</t>
  </si>
  <si>
    <t>Marcelo Vieira da Silva Junior</t>
  </si>
  <si>
    <t>Brasil x Croácia</t>
  </si>
  <si>
    <t>Copa do Mundo</t>
  </si>
  <si>
    <t>Torcedores brasileiros proferiram ofensas raciais ao atleta em razão de gol contra</t>
  </si>
  <si>
    <t>024/2014</t>
  </si>
  <si>
    <t>Torcidores brasileiros</t>
  </si>
  <si>
    <t>Argentina x Bósnia</t>
  </si>
  <si>
    <t>Maracanã</t>
  </si>
  <si>
    <t xml:space="preserve">Rio de Janeiro </t>
  </si>
  <si>
    <t>Torcedores argentinos proferiram insultos racista contra 2 torcedores brasileiros</t>
  </si>
  <si>
    <t>Interrrodados</t>
  </si>
  <si>
    <t>Liberados</t>
  </si>
  <si>
    <t>025/2014</t>
  </si>
  <si>
    <t>Espanha x Chile</t>
  </si>
  <si>
    <t>Torcedores espanhóis proferiram insultos racistas contra torcedores brasileiros no Twitter</t>
  </si>
  <si>
    <t>OBS</t>
  </si>
  <si>
    <t>026/2015</t>
  </si>
  <si>
    <t>Sem partida</t>
  </si>
  <si>
    <t>O atleta sofreu insultos racistas após ingressar com ação na justiça contra o Santos</t>
  </si>
  <si>
    <t>Não houve continuidade. Atleta não prestou queixa</t>
  </si>
  <si>
    <t>027/2015</t>
  </si>
  <si>
    <t>Vitinho</t>
  </si>
  <si>
    <t>Caxias x Internacional</t>
  </si>
  <si>
    <t>Centenário</t>
  </si>
  <si>
    <t>Caxias do Sul</t>
  </si>
  <si>
    <t>Campeonato gaúcho</t>
  </si>
  <si>
    <t>Repórter registrou torcedor do Caxias imitando um macaco</t>
  </si>
  <si>
    <t>028/2015</t>
  </si>
  <si>
    <t>Robério Epaminondas</t>
  </si>
  <si>
    <t>Lucena x Santa Cruz de Santa Rita</t>
  </si>
  <si>
    <t>Amigão</t>
  </si>
  <si>
    <t>Campeonato paraibano</t>
  </si>
  <si>
    <t>Torcedor chamou o preparador de goleiro de macaco</t>
  </si>
  <si>
    <t>Torcedor foi identificado. Pagou fiança e foi liberado. Delegado instaurou inquérito</t>
  </si>
  <si>
    <t>029/2015</t>
  </si>
  <si>
    <t>Érico Araújo</t>
  </si>
  <si>
    <t>São Paulo - RG x Internacional</t>
  </si>
  <si>
    <t>Aldo Dapuzzo</t>
  </si>
  <si>
    <t>Rio Grande</t>
  </si>
  <si>
    <t>Torcedor proferiu insultos racistas ao preprerador fisico do Inter</t>
  </si>
  <si>
    <t>Torcedor foi identificado e preso. Arbitro registrou na sumula. Não houve continuidade por falta de testemunhas e negativa do agressor durante sua permanencia na delegacia</t>
  </si>
  <si>
    <t>030/2015</t>
  </si>
  <si>
    <t>Júnior Paraíba</t>
  </si>
  <si>
    <t>URT x Vila Nova</t>
  </si>
  <si>
    <t>Zama Maciel</t>
  </si>
  <si>
    <t>Campeonato mineiro</t>
  </si>
  <si>
    <t>Arbitragem</t>
  </si>
  <si>
    <t>Atleta informou que o arbitro da partido o chamou de macaco</t>
  </si>
  <si>
    <t>A vitima não quis dar presseguimento. Assim o atleta acabou sendo punido pelo art 221 do CBJD. O TJD-MG absolveu o árbitro da acusação de racismo.</t>
  </si>
  <si>
    <t>TJD-MG</t>
  </si>
  <si>
    <t>Ronei Candido Alves</t>
  </si>
  <si>
    <t>O TJD-MG absolveu o árbitro da acusação de racismo.</t>
  </si>
  <si>
    <t>https://ge.globo.com/mg/noticia/2015/03/arbitro-acusado-de-racismo-por-meia-da-urt-e-absolvido-em-julgamento.html</t>
  </si>
  <si>
    <t>031/2015</t>
  </si>
  <si>
    <t>Robinho</t>
  </si>
  <si>
    <t>Corumbaense x Naviraiense</t>
  </si>
  <si>
    <t>Artur Marinho</t>
  </si>
  <si>
    <t>Corumbá</t>
  </si>
  <si>
    <t>Campeonato Sul-mato-grossense</t>
  </si>
  <si>
    <t>Atleta informou que foi vítima de injúrias raciais por torcedores do Corumbaense</t>
  </si>
  <si>
    <t>Por falta de provas o Corumbaense foi absolvido no TJG-MT</t>
  </si>
  <si>
    <t>TJD-MT</t>
  </si>
  <si>
    <t>Não identificado</t>
  </si>
  <si>
    <t>O TJD/MS (Tribunal de Justiça Desportiva de Mato Grosso do Sul) absolveu o Corumbaense das acusações de racismo por parte de sua torcida. A alegação dos auditores foi que não existiam provas suficientes para punir o clube pelo fato.</t>
  </si>
  <si>
    <t xml:space="preserve"> Corumbaense Futebol Clube (MS)</t>
  </si>
  <si>
    <t>https://www.douradosnews.com.br/noticia/amp/699230/tjd-absolve-corumbaense-e-serie-b-ronda-leao-e-sete/</t>
  </si>
  <si>
    <t>032/2015</t>
  </si>
  <si>
    <t>Torcedor santista proferiu insultos raciais ao atleta em rede social</t>
  </si>
  <si>
    <t>033/2015</t>
  </si>
  <si>
    <t>Brasil-Pel x Internacional</t>
  </si>
  <si>
    <t>Bento Freitas</t>
  </si>
  <si>
    <t>O Atleta procurou a imprensa para relatar as ofensas racistas que recebeu durante o aquecimento</t>
  </si>
  <si>
    <t>034/2015</t>
  </si>
  <si>
    <t>Alberto</t>
  </si>
  <si>
    <t>Guaraí x Interporto</t>
  </si>
  <si>
    <t>Delfinão</t>
  </si>
  <si>
    <t>Guaraí</t>
  </si>
  <si>
    <t>Campeonato tocantinense</t>
  </si>
  <si>
    <t>Torcedores do Guaraí proferiram insultos raciais para o atleta do Interporto</t>
  </si>
  <si>
    <t>O Guaraí foi multado em R$ 500,00 pelo TJD-TO</t>
  </si>
  <si>
    <t>TJD-TO</t>
  </si>
  <si>
    <r>
      <t xml:space="preserve">O </t>
    </r>
    <r>
      <rPr>
        <b/>
        <sz val="11"/>
        <color theme="1"/>
        <rFont val="Aptos Narrow"/>
        <family val="2"/>
        <scheme val="minor"/>
      </rPr>
      <t>TJD-TO</t>
    </r>
    <r>
      <rPr>
        <sz val="11"/>
        <color theme="1"/>
        <rFont val="Aptos Narrow"/>
        <family val="2"/>
        <scheme val="minor"/>
      </rPr>
      <t xml:space="preserve"> (Tribunal de Justiça Desportiva do Tocantins) multou Guaraí o clube foi multado em R$ 500 por ofensas proferidas por sua torcida contra o jogador Alberto, lateral-esquerdo do Interporto.</t>
    </r>
  </si>
  <si>
    <t>Sport Club Guaraí (TO)</t>
  </si>
  <si>
    <t>035/2015</t>
  </si>
  <si>
    <t>Elias</t>
  </si>
  <si>
    <t>Corinthians x Danúbio</t>
  </si>
  <si>
    <t>Neoquimica Arena</t>
  </si>
  <si>
    <t>São Paulo</t>
  </si>
  <si>
    <t>O alteta Elias relatou que sofreu insultos racistas proferidos pelo atleta Gonzalez do Danubio</t>
  </si>
  <si>
    <t>Gonzalez</t>
  </si>
  <si>
    <t>036/2015</t>
  </si>
  <si>
    <t>Fabrício</t>
  </si>
  <si>
    <t>Internacional x Ypiranga</t>
  </si>
  <si>
    <t>Com base em vídeo-denúncia o TJD
abriu inquérito por suposta ofensa racista
dirigida ao atleta</t>
  </si>
  <si>
    <t>O TJD-RS absolveu por unanimidade o clube. O jogador afirmou que não ouviu insultos racistas</t>
  </si>
  <si>
    <t>O TJD-RS absolveu por unanimidade o Internacional da acusação de racismo.</t>
  </si>
  <si>
    <t>Sport Club Internacional</t>
  </si>
  <si>
    <t>037/2015</t>
  </si>
  <si>
    <t>Amaral</t>
  </si>
  <si>
    <t>Francisco Beltrão x Pato Branco</t>
  </si>
  <si>
    <t>Anilado</t>
  </si>
  <si>
    <t>Francisco Beltrão</t>
  </si>
  <si>
    <t>Campeonato paranaense</t>
  </si>
  <si>
    <t>Torcedor do Pato Branco chamou o atleta de macado, foi identificado</t>
  </si>
  <si>
    <t>Torcedor foi preso. Atlet e testemunhas foram na delegacia e deram continuidade. Torcedor pagou fiança e foi liberado. Respondeu em liberdade o processo.</t>
  </si>
  <si>
    <t>038/2015</t>
  </si>
  <si>
    <t>Hélio Geraldo</t>
  </si>
  <si>
    <t>Osvaldo Cruz x Bandeirante</t>
  </si>
  <si>
    <t>Breno Ribeiro do Val</t>
  </si>
  <si>
    <t>Osvaldo Cruz</t>
  </si>
  <si>
    <t>Campeonato paulista</t>
  </si>
  <si>
    <t>O coordenador técnico do Bandeirante alegou ter sofrido ofensas racistas do árbitro</t>
  </si>
  <si>
    <t>Não houve continuidade. Delegado disse que foi mal entendido e que eles de desculpassem</t>
  </si>
  <si>
    <t>Ederson Martins Deodato</t>
  </si>
  <si>
    <t>039/2015</t>
  </si>
  <si>
    <t>Jemerson</t>
  </si>
  <si>
    <t>Atleta postou foto ao lado de Lucas Pratto e sofreu comentários racistas</t>
  </si>
  <si>
    <t>040/2015</t>
  </si>
  <si>
    <t>Luis Paulo Oliveira</t>
  </si>
  <si>
    <t>Nova Prata x Esportivo</t>
  </si>
  <si>
    <t>Mario Cini</t>
  </si>
  <si>
    <t>Nova Prata</t>
  </si>
  <si>
    <t>Divisão de acesso gaúcha</t>
  </si>
  <si>
    <t>Torcedor proferiu agressões racias ao atleta do Esportivo. Que foi identificado pelo atleta. Avisou o árbitro, mas não relatou na súmula</t>
  </si>
  <si>
    <t>Não obtivemos informações do desdobramento do caso</t>
  </si>
  <si>
    <t>041/2015</t>
  </si>
  <si>
    <t>Torcedor Internacional</t>
  </si>
  <si>
    <t>Internacional x Grêmio</t>
  </si>
  <si>
    <t>Torcedor gremista foi flagrado imitando um macaco</t>
  </si>
  <si>
    <t>TJD considerou insuficiente o vídeo para denunciar o Grêmio</t>
  </si>
  <si>
    <t>TJD</t>
  </si>
  <si>
    <t>Não Informado</t>
  </si>
  <si>
    <t>042/2015</t>
  </si>
  <si>
    <t>Eduardo Costa</t>
  </si>
  <si>
    <t>Figueirense x Avaí</t>
  </si>
  <si>
    <t>Orlando Scarpelli</t>
  </si>
  <si>
    <t>Florianopólis</t>
  </si>
  <si>
    <t>O atleta do Avaí acusou o técnico do Figueirense Argel Fucks de chama-lo de macaco nojento</t>
  </si>
  <si>
    <t>O Atleta registrou BO. Foi penalizado pelo STJD pelo soco que desferiu no tecnico. O caso de racismo não foi juldado</t>
  </si>
  <si>
    <t>Argel Fucks</t>
  </si>
  <si>
    <t>043/2015</t>
  </si>
  <si>
    <t>Panda</t>
  </si>
  <si>
    <t>Botafogo-PB x Treze</t>
  </si>
  <si>
    <t>Almeidão</t>
  </si>
  <si>
    <t>João Pessoa</t>
  </si>
  <si>
    <t>Gerente de futebol e jogadores do Treze acusaram o auxiliar de arbitragem de proferir ofensas racias contra Panda</t>
  </si>
  <si>
    <t>A federeção da Paraíba afastou por tempo indeterminado o auxiliar. Não encontramos a decisão definitiva</t>
  </si>
  <si>
    <t>044/2015</t>
  </si>
  <si>
    <t>Torcedor londrina</t>
  </si>
  <si>
    <t>Brasil-Pel x Londrina</t>
  </si>
  <si>
    <t xml:space="preserve">RS </t>
  </si>
  <si>
    <t>Campeonato brasileiro C</t>
  </si>
  <si>
    <t>Torcedor do Londrina foi flagrado imitando um macaco</t>
  </si>
  <si>
    <t>O Londrina foi absolvido no STJD pela acusão de racismo praticado pelo seu torcedor</t>
  </si>
  <si>
    <t>O Londrina foi absolvido no STJD pela acusão de racismo</t>
  </si>
  <si>
    <t>Londrina Esporte Clube</t>
  </si>
  <si>
    <t>045/2015</t>
  </si>
  <si>
    <t>Miulle</t>
  </si>
  <si>
    <t>Guaxupé x Corinthinas</t>
  </si>
  <si>
    <t>Estádio Municipal Carlos Costa Monteiro</t>
  </si>
  <si>
    <t>Guaxupé</t>
  </si>
  <si>
    <t xml:space="preserve">MG </t>
  </si>
  <si>
    <t>Taça BH - Sub 17</t>
  </si>
  <si>
    <t>Base</t>
  </si>
  <si>
    <t>Torcedor foi detido após chamar o atleta do Corinthians de macaco</t>
  </si>
  <si>
    <t>Torcedor foi detido, interrogado e liberado.</t>
  </si>
  <si>
    <t>046/2015</t>
  </si>
  <si>
    <t>Funcionária do Inter</t>
  </si>
  <si>
    <t>Internacional x Tigres</t>
  </si>
  <si>
    <t>Staff do clube</t>
  </si>
  <si>
    <t>Mulher que trabalhava na orientação de torcedores foi agredida por um torcedor colorado com a frase: suas negrinhas não deveriam estar aqui</t>
  </si>
  <si>
    <t>Com apoio de testemunhas a vítima registrou BO</t>
  </si>
  <si>
    <t>047/2015</t>
  </si>
  <si>
    <t>Semifianl amador em Itajaí</t>
  </si>
  <si>
    <t>Estãdio local</t>
  </si>
  <si>
    <t>Intajaí</t>
  </si>
  <si>
    <t>Campeonato amador Itajaí</t>
  </si>
  <si>
    <t>Durante a semifinal de um campeonato amador em Itajaí. O atleta condenado chamou um adversário negro de "preto sujo" e "macaco" após uma discussão em campo.</t>
  </si>
  <si>
    <t xml:space="preserve"> O réu foi sentenciado a um ano de reclusão em regime aberto e ao pagamento de multa.  Em novembro de 2020, o tribunal negou o recurso da defesa e manteve a condenação, substituindo a pena privativa de liberdade pela prestação de serviços à comunidade</t>
  </si>
  <si>
    <t>048/2015</t>
  </si>
  <si>
    <t>Rhayner</t>
  </si>
  <si>
    <t>Náutico x Vitória</t>
  </si>
  <si>
    <t>Aflitos</t>
  </si>
  <si>
    <t>Recife</t>
  </si>
  <si>
    <t>Campeonato brasileiro B</t>
  </si>
  <si>
    <t>Atleta viu gestos racistas e fez gestos obscenos para a torcida do Naútico</t>
  </si>
  <si>
    <t>Não houve continuidade. Atleta não prestou queixa. Pediu desculpas pelos gestos obscenos em rede social.</t>
  </si>
  <si>
    <t>049/2015</t>
  </si>
  <si>
    <t>Fred Nelson</t>
  </si>
  <si>
    <t>Andraus x Maringá</t>
  </si>
  <si>
    <t>Taça FPF</t>
  </si>
  <si>
    <t>Diretor do Andraus afirma ter sido ofendido pelo árbitro com a frase: sai daqui, seu preto, maco</t>
  </si>
  <si>
    <t>BO registrado. Julgamento no TJD condenou o dirigente por 660 dias e multa de quase R$ 60 mil pela confusãp na partida. Caso de racismo não foi julgado</t>
  </si>
  <si>
    <t>050/2015</t>
  </si>
  <si>
    <t>Jogadores do Corinthians</t>
  </si>
  <si>
    <t>Jogadores Wagner Love, Gil, Elias e Malcon foram ofendidos no Twitter</t>
  </si>
  <si>
    <t xml:space="preserve">Não houve continuidade. Atletas não prestaram queixa. </t>
  </si>
  <si>
    <t>051/2015</t>
  </si>
  <si>
    <t xml:space="preserve">Brinner </t>
  </si>
  <si>
    <t>Bragantino x Macaé</t>
  </si>
  <si>
    <t>Nabi abi Chaid</t>
  </si>
  <si>
    <t>Bragança Paulista</t>
  </si>
  <si>
    <t>Atleta do Macaé acusa
torcedores do Bragantino de proferir
xingamentos racistas</t>
  </si>
  <si>
    <t>Teve BO e resgistro na súmula. Não encontramos informações no STJD sobre o julgamento</t>
  </si>
  <si>
    <t>052/2015</t>
  </si>
  <si>
    <t>Diego Lima</t>
  </si>
  <si>
    <t>Lajeadense x Central</t>
  </si>
  <si>
    <t>Alviazul</t>
  </si>
  <si>
    <t>Lajeado</t>
  </si>
  <si>
    <t>Campeonato brasileiro D</t>
  </si>
  <si>
    <t>Em rede social o atleta referiu ao árbitro que sofreu xingamentos raciais durante o jogo.</t>
  </si>
  <si>
    <t>Árbitro registrou na súmula e atleta registrou BO. Caso não foi adiante, pois não houve queixa. Sem identificação. Sem atuação do TJD</t>
  </si>
  <si>
    <t>053/2015</t>
  </si>
  <si>
    <t>Sebastião Fernandes (Tião)</t>
  </si>
  <si>
    <t>Ipiranga x Americano</t>
  </si>
  <si>
    <t>São José</t>
  </si>
  <si>
    <t>Liga Josefense</t>
  </si>
  <si>
    <t>Sebastião Fernandes alega que sofreu
uma injúria racial de uma torcedora entre
os torcedores do Americano</t>
  </si>
  <si>
    <t>Torcedora foi
identificada, Boletim de Ocorrência
registrado.</t>
  </si>
  <si>
    <t>054/2015</t>
  </si>
  <si>
    <t>Caio Blois</t>
  </si>
  <si>
    <t>Usuários do Twitter denunciaram
Caio Blois de utilizar termos racistas em
suas postagens mais antigas (entre 2011 e
2014) contra a torcida do Flamengo</t>
  </si>
  <si>
    <t>Jornalista pediu desculpa
pelas postagens através de seu perfil na
rede social. Sem registro de ocorrência,
caso não foi adiante.</t>
  </si>
  <si>
    <t>055/2015</t>
  </si>
  <si>
    <t>Kanu</t>
  </si>
  <si>
    <t>Internauta escreveu um comentário
racista contra o zagueiro Kanu, do Vitória,
no Facebook</t>
  </si>
  <si>
    <t>Caso não foi adiante,
atleta não prestou queixa. Sem registro de
ocorrência e sem identificação do agressor</t>
  </si>
  <si>
    <t>056/2015</t>
  </si>
  <si>
    <t>Allano</t>
  </si>
  <si>
    <t>Internauta publicou em seu perfil no
Facebook ofensas racistas onde dizia:
“Allano não comeu banana. Tá fraco.”</t>
  </si>
  <si>
    <t>Caso não foi adiante,
atleta não prestou queixa. Sem registro de
ocorrência sem identificação do agressor.</t>
  </si>
  <si>
    <t>057/2015</t>
  </si>
  <si>
    <t>Adriano</t>
  </si>
  <si>
    <t>Figueirense - MG x Formiga</t>
  </si>
  <si>
    <t>Paulo Campos</t>
  </si>
  <si>
    <t>São João del Rey</t>
  </si>
  <si>
    <t>O atleta informou que um torcedor
do Formiga o chamou de "macaco" e
"crioulo". Adriano falou com o árbitro, que
parou o jogo, chamou a Polícia Militar e
registrou o incidente em súmula</t>
  </si>
  <si>
    <t>Atleta registrou Boletim
de Ocorrência, contudo a Policia Militar
não identificou o agressor</t>
  </si>
  <si>
    <t>058/2015</t>
  </si>
  <si>
    <t>Michel Bastos</t>
  </si>
  <si>
    <t>O atleta postou uma
mensagem em que é chamado “de
macaco” por um de seus seguidores no
Instagram</t>
  </si>
  <si>
    <t>Jogador entrou com uma
queixa no DECREDI (Delegacia de Crimes
Raciais e Delitos de Intolerância) contra a
torcedora que foi identificada nas redes
sociais, assim como seu endereço
residencial, e o inquérito foi aberto para
apuração. A torcedora foi denunciada por
injúria racial. Processo segue em
andamento</t>
  </si>
  <si>
    <t>Em andamento</t>
  </si>
  <si>
    <t>059/2016</t>
  </si>
  <si>
    <t>Janaina</t>
  </si>
  <si>
    <t>Foz Cataratas x Pinheirense FC</t>
  </si>
  <si>
    <t>Esádio do ABC</t>
  </si>
  <si>
    <t>Foz do Iguaçu</t>
  </si>
  <si>
    <t>Campeonato Brasileiro</t>
  </si>
  <si>
    <t>A atleta Janaina, do Pinheirense, denunciou que sofreu racismo de uma atleta do Foz Cataratas, atleta ouviu “saia daqui que você está fedendo, sua macaca”, na partida em Foz do Iguaçu, pelo Campeonato Brasileiro Feminino</t>
  </si>
  <si>
    <t>Não foram encontradas informações de desdobramento do caso ou punição aos envolvidos</t>
  </si>
  <si>
    <t>060/2016</t>
  </si>
  <si>
    <t>Rafael</t>
  </si>
  <si>
    <t>São Carlos x Itapirense</t>
  </si>
  <si>
    <t>Estadio municipal</t>
  </si>
  <si>
    <t>São Carlos</t>
  </si>
  <si>
    <t>Campeonato paulista A3</t>
  </si>
  <si>
    <t>Rafael de Araújo Pereira, quarto árbitro, relata em súmula ter sido chamado de "macaco" por grupo de torcedores do São Carlos em jogo válido pela A3 do Campeonato Paulista</t>
  </si>
  <si>
    <t>Apenas um torcedor foi identificado pela PM. Ele foi levado à delegacia seccional de São Carlos, onde foi feito autuado em flagrante por racismo, registro de Boletim de Ocorrência (B.O.). Após prestar depoimento, o torcedor pagou a fiança no valor de R$ 880,00 e foi liberado.</t>
  </si>
  <si>
    <t xml:space="preserve">Sim </t>
  </si>
  <si>
    <t>061/2016</t>
  </si>
  <si>
    <t>Torcedor do Náutico</t>
  </si>
  <si>
    <t>Sport x Náutico</t>
  </si>
  <si>
    <t>Ilha do Retiro</t>
  </si>
  <si>
    <t>Campeonato pernanbucano</t>
  </si>
  <si>
    <t>Torcedor do Náutico é flagrado fazendo gestos racistas em direção à torcida do Sport</t>
  </si>
  <si>
    <t>O Sport registrou Boletim de Ocorrência (B.O.) contra torcedor que fez gestos racistas e o Náutico manifesta repúdio a torcedor que fez gesto racista (Nota oficial do Clube).</t>
  </si>
  <si>
    <t>062/2016</t>
  </si>
  <si>
    <t>Torcedor do Cerro Porteño</t>
  </si>
  <si>
    <t>Corinthians x Cerro Porteño</t>
  </si>
  <si>
    <t>NeoQuimica Arena</t>
  </si>
  <si>
    <t>Torcedor do Cerro Porteño imita macaco para provocar corintianos na Arena Corinthians</t>
  </si>
  <si>
    <t>O gesto foi flagrado pelas imagens da TV. Nada consta sobre algum registro pós jogo para tentar identificar o torcedor. O caso ficou restrito as imagens da televisão, não seguiu adiante.</t>
  </si>
  <si>
    <t>063/2016</t>
  </si>
  <si>
    <t>Pedro Ivo</t>
  </si>
  <si>
    <t>Torcedor chama volante de "macaco" e causa revolta no América-RN</t>
  </si>
  <si>
    <t>Polícia identificou o autor da ofensa racista ao jogador do América-RN como Romario Nunes. O mesmo se apresentou à uma delegacia de polícia sem qualquer restrição e o caso foi encerado, após pedido de desculpas.</t>
  </si>
  <si>
    <t>Romario Nunes</t>
  </si>
  <si>
    <t>064/2016</t>
  </si>
  <si>
    <t>Gabriel Jesus</t>
  </si>
  <si>
    <t>Nacional x Palmeiras</t>
  </si>
  <si>
    <t>Parque Central</t>
  </si>
  <si>
    <t>Montevideo</t>
  </si>
  <si>
    <t>Uruguai</t>
  </si>
  <si>
    <t>Gabriel Jesus foi alvo de racismo durante jogo do Palmeiras no Uruguai</t>
  </si>
  <si>
    <t>Nacional é multado por gestos racistas de torcedor contra Gabriel Jesus. Clube uruguaio recebeu sanção da Conmebol (Confederação Sul-Americana de Futebol) a pagar o valor de US$ 10 mil dólares (aproximadamente R$ 37 mil)</t>
  </si>
  <si>
    <t>O Nacional é multado pela Conmebol (Confederação Sul-Americana de Futebol) em US$ 10 mil dólares.</t>
  </si>
  <si>
    <t>Club Nacional de Football (Uruguai)</t>
  </si>
  <si>
    <t>065/2016</t>
  </si>
  <si>
    <t>Rafael Silva</t>
  </si>
  <si>
    <t>Atlético-MG x Cruzeiro</t>
  </si>
  <si>
    <t>Rafael Silva foi alvo de racismo nas redes sociais após comemoração polêmica</t>
  </si>
  <si>
    <t>O infrator, identificado como Bruno Daniel Rodrigues, alegou que teve sua conta hackeada e que não foi o autor do ato racista. O Cruzeiro deixou a disposição do atleta o seu departamento jurídico. Entretanto, o jogador não se manifestou sobre o ocorrido e o caso não foi levado adiante.</t>
  </si>
  <si>
    <t>Bruno Daniel Rodrigues</t>
  </si>
  <si>
    <t>066/2016</t>
  </si>
  <si>
    <t>São Paulo x River Plate</t>
  </si>
  <si>
    <t>Morumbi</t>
  </si>
  <si>
    <t>Michel Bastos diz ter sido chamado de "negro" por D'Alessandro</t>
  </si>
  <si>
    <t>Não constam registros de que o caso tenha sido levado adiante</t>
  </si>
  <si>
    <t xml:space="preserve"> D'Alessandro</t>
  </si>
  <si>
    <t>067/2016</t>
  </si>
  <si>
    <t>Sergio Luz</t>
  </si>
  <si>
    <t>Chapecoense x Joinville</t>
  </si>
  <si>
    <t>Arena Condá</t>
  </si>
  <si>
    <t>Chapecó</t>
  </si>
  <si>
    <t>Campeonato catarinense</t>
  </si>
  <si>
    <t>Sergio Luiz Ferreira de Jesus, massagista da Chapecoense, reclamou de ofensas racistas ao árbitro Sandro Meira Ricci que relatou na súmula de que Sergio foi chamado de "macaco, filho da p..." por torcedores da arquibancada. As ofensas teriam acontecidos depois que ele pediu calma para os torcedores.</t>
  </si>
  <si>
    <t>Por unanimidade de votos, a 4ª Comissão Disciplinar, do TJD-SC, absolveu a Chapecoense pelo fato de a injúria racial não ter sido comprovada.</t>
  </si>
  <si>
    <t>TJDSC</t>
  </si>
  <si>
    <t>Associação Chapecoense de Futebol</t>
  </si>
  <si>
    <t>068/2016</t>
  </si>
  <si>
    <t>Juan Carlos</t>
  </si>
  <si>
    <t>Atlético-MG x Racing</t>
  </si>
  <si>
    <t xml:space="preserve">Arena Independencia </t>
  </si>
  <si>
    <t>Belo Horizonte</t>
  </si>
  <si>
    <t>Comissão Técnica</t>
  </si>
  <si>
    <t>treinador de goleiros do clube de Buenos Aires, Juan Carlos Gambandé, protagonizou uma cena lamentável de injúria racial. Gesticulando para os torcedores atleticanos, ele simulou estar comendo uma banana e provocou quem estava nas proximidades</t>
  </si>
  <si>
    <t>Racing demite preparador de goleiros após ato racista contra torcida do Galo. Não foi encontrara nenhuma outra punição por parte da Conmebol (Confederação Sul-Americana de Futebol).</t>
  </si>
  <si>
    <t>069/2016</t>
  </si>
  <si>
    <t>André</t>
  </si>
  <si>
    <t>Corinthians x Nacional</t>
  </si>
  <si>
    <t>André atacante do Corinthians sofre insultos racistas na internet</t>
  </si>
  <si>
    <t>Nenhum registro foi identificado até o momento de fechamento deste relatório. Em princípio, atleta não levou caso adiante.</t>
  </si>
  <si>
    <t>070/2016</t>
  </si>
  <si>
    <t>Bill</t>
  </si>
  <si>
    <t>Avaí x Ceará</t>
  </si>
  <si>
    <t>Florianóplis</t>
  </si>
  <si>
    <t>Bill disse que foi xingado de "macaco" pela torcida catarinense</t>
  </si>
  <si>
    <t>Baseada no artigo 258-A do CBJD a Quarta Comissão Disciplinar do Superior Tribunal de Justiça Desportiva do Futebol (STJD) puniu o atacante Bill, com dois jogos de suspensão. A decisão foi tomada baseada no artigo 258-A do CBJD "provocar o público durante partida, prova ou equivalente". O atacante usou em sua defesa que foi chamado de “macaco” por parte da torcida, por isso reagiu de tal forma. No entanto, isso não foi levado em questão e não ocorreu julgamento sobre qualquer suposto caso de racismo. Além dessa pena, o atleta já havia sido penalizado, junto com um torcedor do Avaí que baixou as suas calças na arquibancada devido aos gestos do jogador, no pagamento de R$ 880, em duas parcelas, a uma entidade beneficente da Grande Florianópolis.</t>
  </si>
  <si>
    <t>071/2016</t>
  </si>
  <si>
    <t>Evanildo Natalino</t>
  </si>
  <si>
    <t>Sport Sorocaba x Vila Carvalho</t>
  </si>
  <si>
    <t>Sorocaba</t>
  </si>
  <si>
    <t>Taça Baltazar Fernandes</t>
  </si>
  <si>
    <t>Após a marcação de uma infração, tanto o árbitro da partida, Evanildo Natalino André, quanto seus auxiliares teriam sido ofendidos com xingamentos racistas ("bando de preto safado", "macacos" e "vagabundos") pelo jogador que foi expulso. O ato foi relatado em súmula</t>
  </si>
  <si>
    <t xml:space="preserve">Apesar de denunciarem um crime à justiça desportiva, as vítimas optaram por não registrar boletim de ocorrência sobre o caso. O Tribunal de Justiça Desportiva de Sorocaba deu início ao primeiro julgamento de sua história de um ato de injúria racial que teria sido praticado por um atleta do clube de futebol varzeano. O atleta Everton Gonçalves foi suspenso das competições de município por dois anos. </t>
  </si>
  <si>
    <t>TJD Sorocaba</t>
  </si>
  <si>
    <t>Everton Gonçalves</t>
  </si>
  <si>
    <t>O atleta Everton Gonçalves foi suspenso das competições de município por dois anos, pelo Tribunal de Justiça Desportiva de Sorocaba.</t>
  </si>
  <si>
    <t>072/2016</t>
  </si>
  <si>
    <t>Lucas Costha</t>
  </si>
  <si>
    <t>Gauchão Sub-20</t>
  </si>
  <si>
    <t>O atleta Lucas Costha relatou em sua página no Facebook ter siso ofendido por torcedores do Grêmio</t>
  </si>
  <si>
    <t>Não constam informações de que o atleta tenha levado o caso para as vias judiciais.</t>
  </si>
  <si>
    <t>073/2016</t>
  </si>
  <si>
    <t>Cruzeiro x Atlético-PR</t>
  </si>
  <si>
    <t>Insultos racistas contra Allano apareceram em redes sociais após o jogo do Cruzeiro contra o Atlético Paranaense</t>
  </si>
  <si>
    <t>Não há registros de pronunciamento do caso por parte do atleta. O mesmo já havia sofrido discriminação em 2015 o qual se manifestou via rede social. Em ambos os casos, não houve registro de ocorrência.</t>
  </si>
  <si>
    <t>074/2016</t>
  </si>
  <si>
    <t>Tiago Henrique</t>
  </si>
  <si>
    <t>Parque Amazônia</t>
  </si>
  <si>
    <t>Goiânia</t>
  </si>
  <si>
    <t>Futebol amador</t>
  </si>
  <si>
    <t>Tiago Henrique, atleta amador, diz que foi chamado de 'preto' e 'macaco' ao longo do jogo por uma torcedora.</t>
  </si>
  <si>
    <t>Uma estudante de 22 anos foi presa suspeita de injúria racial. A mesma negou o crime à polícia e foi liberada após pagar fiança de R$ 880. O caso foi registrado na Central de Flagrantes, mas o inquérito foi encaminhado para o 13º Distrito Policial, que deveria dar andamento nas investigações e concluir o caso. A mulher foi indiciada por injúria racial e responderia em liberdade. Se fosse condenada, poderia pegar de 1 a 3 anos de prisão, no entanto, não encontramos informações sobre a finalização do processo.</t>
  </si>
  <si>
    <t>075/2016</t>
  </si>
  <si>
    <t>Riascos</t>
  </si>
  <si>
    <t>Fluminense x Cruzeiro</t>
  </si>
  <si>
    <t>Riascos sofre ataques racistas na Internet após derrota do Cruzeiro.</t>
  </si>
  <si>
    <t>Atleta não manifestou posicionamento sobre o caso e nenhum registro foi feito, ficando apenas no âmbito da rede social.</t>
  </si>
  <si>
    <t>076/2016</t>
  </si>
  <si>
    <t>Joanilson Scarcella</t>
  </si>
  <si>
    <t>Ceará x Juazeiro</t>
  </si>
  <si>
    <t>Fortaleza</t>
  </si>
  <si>
    <t>Cearense Sub-15</t>
  </si>
  <si>
    <t>Uma professora universitária chamou árbitro Joanilson Scarcella de “macaco” várias vezes durante o primeiro tempo do jogo e chegou a gritar ao juiz que ele deveria "comer banana para aprender a apitar".</t>
  </si>
  <si>
    <t>O juiz determinou que a professora fosse retirada do estádio para reiniciar o segundo tempo da partida,
como a mesma se negou a sair o caso foi parar na polícia. O arbitro foi até delegacia municipal de Itaitinga, onde registrou um Boletim de Ocorrência (B.O.). Um assistente e dois jogadores do time do Ceará testemunharam na delegacia acusando a professora por racismo. Não foram encontradas informações sobre o andamento ou finalização do processo.</t>
  </si>
  <si>
    <t>077/2016</t>
  </si>
  <si>
    <t>Bárbara</t>
  </si>
  <si>
    <t>Brasil x Australia</t>
  </si>
  <si>
    <t>Jogos Olimpicos</t>
  </si>
  <si>
    <t>Membro do CFA (Conselho Federal de Administração) faz post racista em rede social com a goleira da seleção brasileira feminina, Bárbara, e gera polêmica.</t>
  </si>
  <si>
    <t>O CFA declarou repúdio em relação à declaração do seu conselheiro e disse que trataria internamente do caso, tomando as devidas providências. A goleira Bárbara não se manifestou sobre o acontecimento. O tema mobilizou as atletas da seleção brasileira e a solidariedade á goleira foi total, no entanto a coordenação da seleção feminina tratou o episódio de forma interna e preferiu minimizar a repercussão para não mudar o foco do Brasil em momento decisivo nos Jogos Olímpicos. Não há informações de que o caso tenha sido levado adiante após os jogos olímpicos.</t>
  </si>
  <si>
    <t>078/2016</t>
  </si>
  <si>
    <t>Anderson Campos</t>
  </si>
  <si>
    <t>Imperial FC x Trieste FC</t>
  </si>
  <si>
    <t xml:space="preserve">Não informado </t>
  </si>
  <si>
    <t>Campeonato amador juvenil</t>
  </si>
  <si>
    <t>Dirigente</t>
  </si>
  <si>
    <t>Diretor presidente da EPD Imperial F.C. desferiu palavras de baixo calão, discriminatórias e racistas contra o juiz da partida.</t>
  </si>
  <si>
    <t>A pena aplicada ao Presidente Carlos Jorge Choinski foi a condenação de 255 (duzentos e cinquenta e cinco) dias de suspensão e ao pagamento de R$ 1.000,00 (hum mil reais) de multa por ter cometido as seguintes infrações: Ofensas à honra do árbitro (Art.243-F) e ofensas racistas contra o árbitro (243-G). Caso consta na súmula da partida e foi aberto um Boletim de Ocorrências.</t>
  </si>
  <si>
    <t>TJDPR</t>
  </si>
  <si>
    <t>Carlos Jorge Choinski</t>
  </si>
  <si>
    <r>
      <t xml:space="preserve">O TJD-PR condenou </t>
    </r>
    <r>
      <rPr>
        <sz val="11"/>
        <color rgb="FF000000"/>
        <rFont val="Aptos Narrow"/>
        <family val="2"/>
      </rPr>
      <t>Carlos Jorge Choinski a 255 (duzentos e cinquenta e cinco) dias de suspensão e ao pagamento de R$ 1.000,00 (um mil reais) de multa por ter cometido as seguintes infrações: Ofensas à honra do árbitro (Art.243-F) e ofensas racistas contra o árbitro (243-G).</t>
    </r>
  </si>
  <si>
    <t>Carlos Jorge Choinski, diretor presidente da EPD Imperial FC.</t>
  </si>
  <si>
    <t>079/2016</t>
  </si>
  <si>
    <t>Tchê-Tchê</t>
  </si>
  <si>
    <t>Atlético-PR x Palmeiras</t>
  </si>
  <si>
    <t>Arena da Baixada</t>
  </si>
  <si>
    <t>Tv Palmeiras flagra ato racista contra Tchê Tchê no Paraná.</t>
  </si>
  <si>
    <t>O STJD (Superior Tribunal de Justiça Desportiva) multou o Atlético/PR em R$ 10 mil e o torcedor impedido de frequentar a Arena da Baixada por 720 dias. Após recorrer da sentença, os auditores decidiram que a nova sentença seria em transformar a decisão de multa numa condenação de R$ 20 mil destinada para ações de marketing em campanha contra a injúria racial e que a mesma deveria ser realizada em jogos em que o Atlético/PR fosse o mandante.</t>
  </si>
  <si>
    <t>Clube Atlético Paranaense</t>
  </si>
  <si>
    <t>080/2016</t>
  </si>
  <si>
    <t>Jeff Silva</t>
  </si>
  <si>
    <t>Atlético Tubarão x Hercílio Luz</t>
  </si>
  <si>
    <t>Estádio Domingos Silveira Gonzales</t>
  </si>
  <si>
    <t>Tubarão</t>
  </si>
  <si>
    <t>Jeff Silva, do Hercílio Luz registrou um Boletim de Ocorrência (B.O.) para denunciar comentário racista sofrido durante o clássico contra o Atlético Tubarão.</t>
  </si>
  <si>
    <t>O Atlético Tubarão foi condenado pelo Superior Tribunal de Justiça Desportiva (STJD) a pagar uma multa de R$ 5 mil por causa dos atos de racismo denunciados pelo meia Jeff Silva, do Hercílio Luz.</t>
  </si>
  <si>
    <t>Clube Atlético Tubarão</t>
  </si>
  <si>
    <t>081/2016</t>
  </si>
  <si>
    <t>Anderson Cavalo</t>
  </si>
  <si>
    <t>Votuporanguense x Red Bull Brasil</t>
  </si>
  <si>
    <t>Arena Plinio Marin</t>
  </si>
  <si>
    <t>O atacante Anderson Cavalo, após ser expulso, afirmou que no momento em que se dirigia ao vestiário, foi chamado de “macaco” pelo fisioterapeuta do Red Bull Brasil, Hedras Russo.</t>
  </si>
  <si>
    <t>A diretoria do Votuporanguense registrou Boletim de Ocorrência por racismo. Anderson Cavalo foi suspenso por 26 partidas pelo TJD-SP, baseados nos artigos 250 (Praticar ato desleal ou hostil durante a partida), 258 (Conduta contrária à disciplina) e 254-A (Praticar agressão física durante a partida) do Código Brasileiro de Justiça Desportiva (CBJD). Sobre o suposto caso de racismo, nada consta sobre alguma punição ou mesmo que o caso tenha sido levado a julgamento.</t>
  </si>
  <si>
    <t>Hedras Russo</t>
  </si>
  <si>
    <t>082/2016</t>
  </si>
  <si>
    <t>Ester</t>
  </si>
  <si>
    <t>Rio Branco AC x Assermurb</t>
  </si>
  <si>
    <t>Rio Branco</t>
  </si>
  <si>
    <t>Acreano</t>
  </si>
  <si>
    <t>Volante Ester, do Rio Branco do Acre, ouve manifestações preconceituosas por parte de uma torcedora do Assermurb que gritava "volta para a sua jaula sua gorila”.</t>
  </si>
  <si>
    <t>A Federação de Futebol do Acre (FFAC) informou que o caso não foi relatado na súmula da partida. Foi registrado Boletim de Ocorrência (B.O.) em uma delegacia de Rio Branco (AC) por parte da atleta acreana. Não foram encontrados dados sobre o andamento do processo.</t>
  </si>
  <si>
    <t>083/2016</t>
  </si>
  <si>
    <t>Políticos gaúchos</t>
  </si>
  <si>
    <t>Atlético MG x Grêmio</t>
  </si>
  <si>
    <t>Torcedores do Grêmio F.B.P.A., o vereador de Porto Alegre Kevin Kreiger (PP) e o deputado federal Covatti Filho (PP/RS) aparecem em um vídeo cantando músicas da torcida tricolor com trechos considerados racistas e ofensivos a torcida colorada ao dizer “macaco imundo”</t>
  </si>
  <si>
    <t>deputado Covatti Filho pediu desculpas a quem tenha se sentido ofendido e afirmou que em nenhum momento a intenção era ofender torcedores colorados ou ser racista. Não ocorreu nenhum processo por injúria ou racismo contra os políticos.</t>
  </si>
  <si>
    <t xml:space="preserve"> Kevin Kreiger e Covatti Filho </t>
  </si>
  <si>
    <t>085/2017</t>
  </si>
  <si>
    <t>Thiago Oliveira e Áureo Cesar Justino</t>
  </si>
  <si>
    <t>URT x Caldense</t>
  </si>
  <si>
    <t>Mangueirão</t>
  </si>
  <si>
    <t>O treinador Thiago Oliveira, do Caldense,
teria sido chamado de “macaco” por um
torcedor da equipe adversária. Segundo o gerente
de futebol do Caldense, Alex Joaquim,
o massagista também sofreu ofensas desse
mesmo torcedor.</t>
  </si>
  <si>
    <t>O técnico da Caldense,
Thiago Oliveira, registrou um Boletim de Ocorrência (201780463436-001) por injúria racial  contra um torcedor da URT (União Recreativa dos Trabalhadores). Caso denunciado em súmula, mas não encontramos informações de julgamento pela Justiça Desportiva. Sobre registro de ocorrência não foram encontradas informações sobre a conclusão do processo. Por se tratar de um processo criminal/judicial, as informações não estão disponíveis.</t>
  </si>
  <si>
    <t>086/2017</t>
  </si>
  <si>
    <t>Samuel</t>
  </si>
  <si>
    <t>Moto Club x Americano</t>
  </si>
  <si>
    <t>Governador João Castelo (Castelão)</t>
  </si>
  <si>
    <t>São Luís</t>
  </si>
  <si>
    <t>Campeonato maranhense</t>
  </si>
  <si>
    <t>O técnico do Americano, Leandro Lago,
acusou, através das redes sociais, o zagueiro
Fernando Fonseca do Moto Club de ter xingado
de forma racista o atacante Samuel, do
Americano.</t>
  </si>
  <si>
    <t>Nem mesmo a própria direção do Americano se manifestou sobre o assunto,
já que não havia provas contra o atleta. O fato é que a publicação gerou desconforto, por ser tratar de acusação grave e sem provas. Fernando Fonseca informou que conversou com a direção do Moto e com o seu advogado e que entraria com uma ação judicial para que as medidas cabíveis fossem tomadas e evitar que tal fato se repita, pois se trata de uma acusação grave e infundada. Não foram encontrados registros se a ação do zagueiro foi
ajuizada.</t>
  </si>
  <si>
    <t>Fernando Fonseca</t>
  </si>
  <si>
    <t>087/2017</t>
  </si>
  <si>
    <t>Khalifa Ababacar Kebe</t>
  </si>
  <si>
    <t>Internacional x Fluminense</t>
  </si>
  <si>
    <t>Primeira liga</t>
  </si>
  <si>
    <t>Staff estádio</t>
  </si>
  <si>
    <t>Seguranças do Sport Club Internacional
abordaram o senegalês Khalifa Ababacar Kebe
de forma bruta.  O ato foi considerado racista e
preconceituoso pelos presentes.</t>
  </si>
  <si>
    <t>O senegalês prestou queixa no dia seguinte na delegacia de polícia da cidade
e registrou Boletim de Ocorrência (B.O.). Não foram encontradas informações sobre o desenrolar da investigação policial ou se o caso foi encerrado.</t>
  </si>
  <si>
    <t>088/2017</t>
  </si>
  <si>
    <t>Guaraci</t>
  </si>
  <si>
    <t>Atlético GO x CRAC</t>
  </si>
  <si>
    <t>Olimpico</t>
  </si>
  <si>
    <t>Goiania</t>
  </si>
  <si>
    <t>Centro-oeste</t>
  </si>
  <si>
    <t>Campeonato goiaense</t>
  </si>
  <si>
    <t>O jogador Guaraci, do CRAC, agrediu um colega em partida válida pelo campeonato local após alegar ter sido chamado de “preto” e “sujo”.</t>
  </si>
  <si>
    <t>O lateral Jorginho do Atlético-GO, acusado por Guaraci de proferir os insultos, negou o fato e disse que jamais faria um ato racista. A diretoria do CRAC decidiu demitir o jogador Guaraci, alegando que o ato dele foi uma atitude que não pode ser levada para dentro de campo. Já Jorginho recebeu uma multa como punição do seu clube (não foi localizado o valor da multa cobrada do atleta).</t>
  </si>
  <si>
    <t>Jorginho</t>
  </si>
  <si>
    <t>089/2017</t>
  </si>
  <si>
    <t>Nikão</t>
  </si>
  <si>
    <t xml:space="preserve">Deportivo Capiatá x Athletico Paranaense </t>
  </si>
  <si>
    <t>Erico Galeano</t>
  </si>
  <si>
    <t>Capiatá</t>
  </si>
  <si>
    <t>Paraguai</t>
  </si>
  <si>
    <t>Copa Libertadores da América</t>
  </si>
  <si>
    <t>O Clube Atlético-PR reclamou de insultos raciais proferidos pela torcida do Deportivo Capiatá - PAR. Os jogadores Carlos Alberto e Nikão declararam que foram chamados de “macaco” por torcedores paraguaios. O atacanteCarlos Alberto chegou a pedir para a polícia local prender um torcedor, mas este acabou fugindo.</t>
  </si>
  <si>
    <t>Não foram encontrados registros de que a representação do Athletico foi enviada para a entidade Sul Americana, ou que a Conmebol tenha definido qualquer tipo de punição para a equipe paraguaia após constatar o ocorrido.</t>
  </si>
  <si>
    <t>091/2017</t>
  </si>
  <si>
    <t>Torcedor do grêmio</t>
  </si>
  <si>
    <t>Vídeo divulgado através das redes sociais apresentava um torcedor gremista imitando um ‘macaco’, supostamente fazendo uma referência chamando a torcida colorada de “macaco”.</t>
  </si>
  <si>
    <t>A Promotoria do Torcedor do Ministério Público pediu imagens para a Arena do Grêmio para analisar o caso. O Ministério Público (Promotoria do Torcedor) formalizou um acordo como torcedor que ficou impedido de ir ao estádio por um período de dois meses.</t>
  </si>
  <si>
    <t>094/2017</t>
  </si>
  <si>
    <t>Koffi</t>
  </si>
  <si>
    <t>Jacuipense x Flamengo de Guanambi</t>
  </si>
  <si>
    <t>Eliel Martins</t>
  </si>
  <si>
    <t>Riachão do Jacuípe</t>
  </si>
  <si>
    <t>Campeonato baiano</t>
  </si>
  <si>
    <t>O volante do Flamengo de Guanambi, o camaronês Koffi, acusou o técnico do Jacuipense, Clebson Araújo, de injúria racial por tê-lo chamado de “macaco” e “macaco preto”.</t>
  </si>
  <si>
    <t>O atleta prestou queixa na delegacia de Riachão do Jacuípe. O treinador alegou inocência aos veículos de comunicação e em sua rede social de que não disse nada que pudesse ofender racialmente o atleta. Os dois envolvidos alegam que o bandeirinha ouviu o que foi dito. Não foram encontradas informações sobre a resolução do caso, se ocorreu alguma punição ao técnico ou se ação está em tramites judiciais.</t>
  </si>
  <si>
    <t>Clebson Araújo</t>
  </si>
  <si>
    <t>096/2017</t>
  </si>
  <si>
    <t>Fabão</t>
  </si>
  <si>
    <t>Paulista Jundiaí x Comercial</t>
  </si>
  <si>
    <t>Doutor Jayme Cintra</t>
  </si>
  <si>
    <t>Jundiaí</t>
  </si>
  <si>
    <t>O zagueiro e capitão do Paulista de Jundiaí, Fabão, utilizou as redes sociais para denunciar que foi alvo de gritos de “macaco” proferidos pela própria torcida em jogo contra o Comercial.</t>
  </si>
  <si>
    <t>Sem registros do ocorrido na súmula, Fabão disse que não prestou queixa na delegacia porque não sabia identificar quem foram os torcedores que gritaram. A diretoria do clube não se pronunciou. Caso não foi levado adiante, ficou apenas com o registro público do ocorrido.</t>
  </si>
  <si>
    <t>097/2017</t>
  </si>
  <si>
    <t>Wagner</t>
  </si>
  <si>
    <t>Novo Hamburgo x São José</t>
  </si>
  <si>
    <t>Estádio do Vale</t>
  </si>
  <si>
    <t>Novo Hamburgo</t>
  </si>
  <si>
    <t>Na saída do gramado, o zagueiro Wágner, do São José, denunciou que foi vítima de injúria racial durante a partida contra o Novo Hamburgo. De acordo com o defensor, houve um torcedor que o insultou chamando-o de “macaco”.</t>
  </si>
  <si>
    <t>O fato não foi relatado ao árbitro nem aos assistentes e não constou em súmula. Wágner registrou Boletim de Ocorrência (B.O.). Após o episódio o Tribunal de Justiça Desportiva do Rio Grande do Sul (TJD-RS) analisou o caso e o procurador Alberto Franco entendeu que havia elementos suficientes e denunciou o Novo Hamburgo por injúria racial. O clube foi condenado em primeira estância a pagar uma multa estipulada em R$ 6 mil reais. O Novo Hamburgo entrou com recurso. O Pleno do TJD-RS julgou o recurso do clube (Processo nº 050/2017) contra decisão proferida pela Segunda Comissão Disciplinar, que condenou a entidade esportiva a pena de multa, pela infração ao artigo 243-G, §2º, do CBJD. A sentença final foi pela absolvição de forma unânime (com oito votos a zero), por falta de provas e contradições.</t>
  </si>
  <si>
    <t>O Novo Hamburgo foi condenado em primeira estância a pagar uma multa de R$ 6 mil reais. O clube entrou com recurso. O Pleno do TJD-RS julgou o recurso do clube e a sentença final foi pela absolvição de forma unânime (com oito votos a zero), por falta de provas e contradições.</t>
  </si>
  <si>
    <t>Esporte Clube Novo Hamburgo</t>
  </si>
  <si>
    <t>098/2017</t>
  </si>
  <si>
    <t>Bahia x Vitória</t>
  </si>
  <si>
    <t>Arena Fonte Nova</t>
  </si>
  <si>
    <t>Salvador</t>
  </si>
  <si>
    <t>Câmeras flagraram o zagueiro Lucas Fonseca, do Bahia, gesticulando com as mãos, fazendo referência ao possível mau cheiro do adversário, o zagueiro Kanu do Vitória</t>
  </si>
  <si>
    <t>Kanu processou Lucas Fonseca por gesto depreciativo. O caso foi levado adiante e um ano depois foi julgado no dia 11/04/2018, na 4ª Vara do Juizado Especial Criminal, em Salvador. Os advogados de Kanu alegaram que o fato causou sérios danos à imagem do atleta, que teria passado a ser chamado de “homem do bafo” nas redes sociais. Em defesa de Lucas Fonseca, o advogado pediu a extinção do processo por decadência, alegando que a queixa crime foi feita mais de seis meses após a data do fato. No entanto, não foi localizada a decisão final do processo, qual foi o veredito do juiz, se alguma das partes apresentou recurso e/ou quais foram as conclusões do processo.</t>
  </si>
  <si>
    <t>Lucas Fonseca</t>
  </si>
  <si>
    <t>099/2017</t>
  </si>
  <si>
    <t>Felipe Melo</t>
  </si>
  <si>
    <t>Palmeiras x Peñarol</t>
  </si>
  <si>
    <t>Alianz Parque</t>
  </si>
  <si>
    <t>Felipe Melo, do Palmeiras, acusa o jogador do Peñarol, Gaston Rodríguez, de racismo por tê-lo chamado de “macaco” durante o jogo.</t>
  </si>
  <si>
    <t>Após repercussão da informação ao término da partida, ainda no estádio, representantes do Peñarol, o diretor esportivo do clube, Gonzalo De los Santos, e o capitão da equipe, Cristián Rodríguez, foram falar com o atleta palmeirense e oficializaram um pedido de desculpar em nome do clube uruguaio e de Gaston Rodríguez. Felipe Melo por sua vez aceitou o pedido e deu o caso como encerrado. Não há registros de que a CONMEBOL (Confederação Sul-Americana de Futebol) tenha investigado a acusação de racismo.</t>
  </si>
  <si>
    <t>Gaston Rodriguez</t>
  </si>
  <si>
    <t>100/2017</t>
  </si>
  <si>
    <t>Funcionário do Inter</t>
  </si>
  <si>
    <t>Internacional x Caxias</t>
  </si>
  <si>
    <t>Funcionário do estádio foi vítima de insultos raciais após impedir que um torcedor encurtasse o caminho para o banheiro pela área que supervisionava.</t>
  </si>
  <si>
    <t>O incidente foi registrado no Juizado do Torcedor, o funcionário (que não teve seu nome divulgado) alegou que teria sido chamado de “preto”, “macaco” e disse que o agressor completou as ofensas dizendo que “se pudesse, mijaria nele”. No posto do Juizado do Torcedor no estádio, houve renúncia à representação criminal. As partes chegaram a acordo e o acusado se responsabilizou em pagar R$ 500,00 (em duas parcelas) ao ofendido.</t>
  </si>
  <si>
    <t>Acordo</t>
  </si>
  <si>
    <t>101/2017</t>
  </si>
  <si>
    <t>Felipe Melo e torcedores do Palmeiras</t>
  </si>
  <si>
    <t>Peñarol x Palmeiras</t>
  </si>
  <si>
    <t>Campeon del siglo</t>
  </si>
  <si>
    <t>Torcida e atleta</t>
  </si>
  <si>
    <t>Gustavo H. Souza, assessor de imprensa e membro do estafe do volante Felipe Melo, publicou em seu Twitter a acusação de que o atleta voltou a receber insultos racistas dos jogadores uruguaios. Além desse episódio, os torcedores locais foram flagrados fazendo gestos de macacos para os brasileiros.</t>
  </si>
  <si>
    <t>O jogo terminou com uma confusão generalizada em campo que iniciou entre os jogadores uruguaios e o volante Felipe Melo, com cenas de violência e briga entre as equipes. A Confederação Sul-Americana de Futebol puniu as duas equipes e os jogadores envolvidos com multa e suspensão, entretanto o julgamento todo ocorreu apenas em relação a violência da partida. Em novo julgamento, a pena imposta para o atleta palmeirense que era de suspensão de seis jogos foi reduzida, mas não foi encontrado registros de que a Conmebol tenha analisado a denúncia de racismo feita pelo Palmeiras contra os torcedores uruguaios.</t>
  </si>
  <si>
    <t>102/2017</t>
  </si>
  <si>
    <t>Paulo Renato Torres</t>
  </si>
  <si>
    <t>Pelotas x Aimoré</t>
  </si>
  <si>
    <t>Gauchão divisão de acesso</t>
  </si>
  <si>
    <t>Massagista do Aimoré, Paulo Renato Torres, sofre injúrias raciais. O profissional relatou de que um homem uniformizado com as cores do Pelotas o chamou de “negrão”, “macaco” e “vagabundo”. O torcedor pelotense foi identificado e detido pela Brigada Militar. Segundo o gerente de futebol do Aimoré, Lucas Kunrath, um boletim de ocorrência foi registrado na DPPA.</t>
  </si>
  <si>
    <t>O perfil oficial do Clube Aimoré denunciou o racismo sofrido e disse que solicitou ao árbitro da partida o registro na súmula do caso de racismo, fato que não ocorreu. Não foram encontradas informações de que o processo seguiu adiante após o registro do Boletim de Ocorrências (B.O.) ou mesmo que a Federação Gaúcha de Futebol (FGF), através da sua Comissão Disciplinar, tenha tomado alguma ação.</t>
  </si>
  <si>
    <t>103/2017</t>
  </si>
  <si>
    <t>Jefferson Teles</t>
  </si>
  <si>
    <t>Penharol AM x Nacional AM</t>
  </si>
  <si>
    <t>Floro de Mendonça</t>
  </si>
  <si>
    <t>Itacoatiara</t>
  </si>
  <si>
    <t>Campeonato amazonense</t>
  </si>
  <si>
    <t>O clube Nacional, de Manaus, divulgou uma nota de repúdio contra o racismo, alegando que o seu atleta, o lateral Jefferson Telles foi chamado de “macaco” por um torcedor, fazendo referência à sua cor de pele.</t>
  </si>
  <si>
    <t>O caso de racismo contra o jogador Jefferson Telles por um torcedor não identificado, foi registrado em súmula pelo árbitro.Caso denunciado em súmula, mas não encontramos informações de julgamento pela Justiça Desportiva. Após a emissão da nota de repúdio pelo Nacional-AM, o Penarol-AM ironizou a acusação de racismo e considerou que a “derrota não foi digerida” pelo adversário. O caso não teve sequência, visto que o infrator não foi identificado.</t>
  </si>
  <si>
    <t>104/2017</t>
  </si>
  <si>
    <t>Kaue Vieira</t>
  </si>
  <si>
    <t>TAC x Elite</t>
  </si>
  <si>
    <t>CT TAC</t>
  </si>
  <si>
    <t>Três Passos</t>
  </si>
  <si>
    <t>Segunda divisão do gaúcho - terceira</t>
  </si>
  <si>
    <t>O Atleta Kaue Vieira alega ter sido vítima de xingamentos racistas por parte do atleta do Elite (Elite Clube Desportivo).</t>
  </si>
  <si>
    <t>O árbitro central, Evander Bica, registrou em súmula o episódio, apesar de relatar que nenhum membro da equipe de arbitragem presenciou o fato. Após a partida, ainda no estádio, o atleta registrou Boletim de Ocorrência junto a Brigada Militar, identificando o atleta acusado de racismo de que ele usava a camisa de número 5 da equipe do Elite.
Como terminou: Caso denunciado em súmula, mas não encontramos informações de julgamento pela Justiça Desportiva. Não foram encontradas informações se após o registro do B.O. a vítima entrou com representação para abertura de processo judicial.</t>
  </si>
  <si>
    <t>106/2017</t>
  </si>
  <si>
    <t>Léo Mineiro</t>
  </si>
  <si>
    <t>Avenida x São Luiz</t>
  </si>
  <si>
    <t>Eucaliptos</t>
  </si>
  <si>
    <t>Santa Cruz do Sul</t>
  </si>
  <si>
    <t>Aos 44 minutos do segundo tempo, o atacante Léo Mineiro acionou o árbitro Diego Real por ter sido chamado de “macaco” por um dos torcedores do Avenida.</t>
  </si>
  <si>
    <t>Árbitro relatou em súmula caso de racismo. Segundo o procurador do TJD-RS, Alberto Franco, como foi apenas um torcedor do Avenida que proferiu a palavra ‘macaco’ para o atacante Léo Mineiro, a tendência é de que o TJS-RS apenas multe o clube de Santa Cruz. Caso denunciado em súmula, mas não encontramos informações de julgamento pela Justiça Desportiva. O atleta decidiu não registrar Boletim de Ocorrência.</t>
  </si>
  <si>
    <t>108/2017</t>
  </si>
  <si>
    <t>Wender</t>
  </si>
  <si>
    <t>Urso x Operário</t>
  </si>
  <si>
    <t>Cacildo Cândido Pereira</t>
  </si>
  <si>
    <t>Mundo Novo</t>
  </si>
  <si>
    <t>Campeonato estadual sub-19</t>
  </si>
  <si>
    <t>O jovem jogador de 18 anos, Wender, do Operário foi insultado racialmente e ameaçado de morte por um torcedor do URSO (União Recreativo Social Olímpico). O agressor teria dito “vou te matar, seu macaco”.</t>
  </si>
  <si>
    <t>O árbitro Rogério Gregório, relatou em súmula de que o árbitro auxiliar Altair José Tavares presenciou os fatos. Foi informado que o infrator já possuía passagem pela polícia por diversos outros tipos de delitos. O atleta registrou Boletim de Ocorrência (B.O.) na Delegacia de Mundo Novo.
O URSO foi multado em R$ 3 mil (três mil reais), conforme o artigo 243-G do Código Brasileiro de Justiça Desportiva (CBJD) que previa suspensão de até um ano do torcedor e multa de R$ 100 a R$ 100 mil, porém o TJD decidiu pela punição financeira, sem qualquer pena individual para o ofensor. Os auditores descartaram qualquer redução na pena por ser uma competição de base, no entanto, o URSO poderia recorrer da decisão. Neste caso, não foi encontrado informação se o clube entrou com recurso ou não. Não foram encontradas informações se após o registro do B.O. a vítima entrou com representação para abertura de processo judicial.</t>
  </si>
  <si>
    <t>O TJD-MS multou o União Recreativo Social Olimpo – URSO (MS) em R$ 3 mil (três mil reais), conforme o artigo 243-G do Código Brasileiro de Justiça Desportiva (CBJD).</t>
  </si>
  <si>
    <t>União Recreativo Social Olimpo – URSO (MS)</t>
  </si>
  <si>
    <t>111/2017</t>
  </si>
  <si>
    <t>Elton</t>
  </si>
  <si>
    <t>Ceará x Interncional</t>
  </si>
  <si>
    <t>Castelão</t>
  </si>
  <si>
    <t>Forteleza</t>
  </si>
  <si>
    <t>O atacante Elton, do Ceará, acusou o zagueiro Victor Cuesta, do Internacional, de chama-lo de “macaco”.</t>
  </si>
  <si>
    <t>O árbitro Leandro Bizzio Marinho não registrou nada em súmula sobre o ocorrido. Em relação as imagens solicitadas, não houve registro conclusivo, pois as câmeras de transmissão captaram apenas uma discussão entre os jogadores, que terminou com o árbitro dando cartão amarelo a ambos. Elton, depois de ter reclamado na imprensa da suposta atitude de Cuesta e registrado Boletim de Ocorrência, teria de se apresentar à polícia para prosseguir com o trâmite legal e preferiu não ir, resolvendo assim, não dar sequência ao caso.</t>
  </si>
  <si>
    <t>Victor Cuesta</t>
  </si>
  <si>
    <t>113/2017</t>
  </si>
  <si>
    <t>Familia Vini Jr</t>
  </si>
  <si>
    <t>Botafogo x Flamengo</t>
  </si>
  <si>
    <t>Engenhão</t>
  </si>
  <si>
    <t>Rio de Janeiro</t>
  </si>
  <si>
    <t>Torcedor do Botafogo é detido por injúrias raciais a familiares do atacante Vinicius Jr. O acusado fazia sinais apontando para o braço e gritava “tudo macaco”.</t>
  </si>
  <si>
    <t>O torcedor foi reconhecido pelas vítimas e encaminhado por policias do Gepe para o Juizado Especial Criminal (Jecrim) do estádio. O juiz que estava de plantão no Juizado Especial do Torcedor e Grandes Eventos na noite da partida, decidiu pela liberdade provisória do acusado, mas decretou o cumprimento de medidas cautelares. Superior Tribunal de Justiça Desportiva (STJD) informou que não puniria o Botafogo por conta da injúria racial do torcedor alvinegro, por se tratar de um torcedor isolado que teria realizado o suposto gesto de “injuria racial”, não infringindo assim o artigo 243-G do CBJD, na forma como prevê também o Código Disciplinar da FIFA em seu artigo 58, item 2[1], tendo em vista que o clube só pode ser prejudicado por ato induvidoso de sua “torcida” e/ou número considerável de “torcedores”.</t>
  </si>
  <si>
    <t>André Luis Moreira</t>
  </si>
  <si>
    <t>Superior Tribunal de Justiça Desportiva (STJD) informou que não puniria o Botafogo por conta da injúria racial do torcedor alvinegro, por se tratar de um torcedor isolado que teria realizado o suposto gesto de “injuria racial”, não infringindo assim o artigo 243-G do CBJD, na forma como prevê também o Código Disciplinar da FIFA em seu artigo 58, item 2[1], tendo em vista que o clube só pode ser prejudicado por ato induvidoso de sua “torcida” e/ou número considerável de “torcedores”.</t>
  </si>
  <si>
    <t>Botafogo Futebol e Regatas</t>
  </si>
  <si>
    <t>114/2017</t>
  </si>
  <si>
    <t>Atleta Sapucaiense</t>
  </si>
  <si>
    <t>Novo Mundo x Sapucaiense</t>
  </si>
  <si>
    <t>Armindo Volkart</t>
  </si>
  <si>
    <t>Três Coroas</t>
  </si>
  <si>
    <t>Gauchão feminino</t>
  </si>
  <si>
    <t>Atleta da equipe do Sapucaiense afirmou em rede social que insultos raciais foram proferidos da arquibancada vindos da torcida do Mundo Novo.</t>
  </si>
  <si>
    <t>A direção do Mundo Novo descartou a possibilidade do acontecido, alegou que a equipe tem em seu elenco e em outras categorias muitas atletas negras e um diretor de futebol negro. caso teve pouca repercussão na mídia e as informações sobre o desenrolar dele não foram encontradas. Nem a referida postagem da atleta através das redes sociais foi identificada, tão pouco se os insultos relatados foram confirmados ou não.</t>
  </si>
  <si>
    <t>115/2017</t>
  </si>
  <si>
    <t>Jeferson Quaresma</t>
  </si>
  <si>
    <t>Sete de setembro x Rudibar</t>
  </si>
  <si>
    <t>Capitão</t>
  </si>
  <si>
    <t>Regional Aslivata</t>
  </si>
  <si>
    <t>Jeferson Quaresma Correia, o Jefu, jogador do Rudibar de Bom Retiro do Sul, relatou que durante a partida passou a ser ofendido de “macaco” por alguns torcedores da equipe do 7 de Setembro, de Capitão.</t>
  </si>
  <si>
    <t>Jefu registrou Boletim de Ocorrência (B.O.) na Delegacia de Polícia de Pronto Atendimento (DPPA) de Lajeado, classificado como um caso de Injúria Qualificada Consumada – Racismo. O clube Sete de Setembro foi punido com perda de pontos, segundo a Aslivata. Não foram encontradas informações se após o registro do B.O. a vítima entrou com representação para abertura de processo judicial.</t>
  </si>
  <si>
    <t>Aslivata</t>
  </si>
  <si>
    <t>116/2017</t>
  </si>
  <si>
    <t>Funcionário do Maracanã</t>
  </si>
  <si>
    <t>Flamengo x Botafogo</t>
  </si>
  <si>
    <t>Um torcedor do Flamengo foi acusado de injúria racial por ofender um dos responsáveis pelo portão de acesso D do Maracanã, um funcionário terceirizado do estádio.</t>
  </si>
  <si>
    <t>Um torcedor flamenguista foi preso em flagrante pelo crime de injúria racial e encaminhado por soldados da Polícia Militar ao posto do Juizado Especial do Torcedor e dos Grandes Eventos instalado no Maracanã. O STJD julgou o caso e em relação à injúria absolveu o Flamengo, pois a interpretação foi de que o ato não é de responsabilidade do clube, mas sim um ato isolado de um torcedor que originou na sua identificação e, consecutivamente, na sua prisão.</t>
  </si>
  <si>
    <t>Wagner Marinho Tavares</t>
  </si>
  <si>
    <t>O STJD julgou o caso e em relação à injúria absolveu o Flamengo, pois a interpretação foi de que o ato não é de responsabilidade do clube, mas sim um ato isolado de um torcedor que originou na sua identificação e, consecutivamente, na sua prisão.</t>
  </si>
  <si>
    <t>Clube de Regatas do Flamengo</t>
  </si>
  <si>
    <t>119/2017</t>
  </si>
  <si>
    <t>Jogador do Guarani</t>
  </si>
  <si>
    <t>Guarani Mirim X Asespe</t>
  </si>
  <si>
    <t>Poço das Antas</t>
  </si>
  <si>
    <t>Jogador de 17 anos do Guarani, cujo nome não foi divulgado, foi chamado de “macaco” pela mãe de um dos jogadores do Assespe</t>
  </si>
  <si>
    <t>A agressora foi identificada pelo pai da vítima, que após o término da partida, registrou a ocorrência na Delegacia de Polícia de Pronto Atendimento (DPPA) de Lajeado. Ele confirmou a presença de testemunhas do fato e o desejo de representar criminalmente contra a mulher pela injúria qualificada. A situação seria investigada pelas autoridades competentes.
Pela não divulgação do nome da vítima e a dificuldade em obter registros sobre o caso, não foram encontradas informações sobre o seu andamento, se o processo foi aberto na esfera criminal ou não.</t>
  </si>
  <si>
    <t>120/2017</t>
  </si>
  <si>
    <t>Messias</t>
  </si>
  <si>
    <t>América MG x Oeste</t>
  </si>
  <si>
    <t>Arena Independencia</t>
  </si>
  <si>
    <t>O zagueiro Messias, do América-MG, pediu a entrada da polícia no gramado e acusou o goleiro Rodolfo, do Oeste de tê-lo chamado de “macaco”.</t>
  </si>
  <si>
    <t>O goleiro foi preso em flagrante por injúria racial após o jogo, ele prestou depoimento e foi liberado após o pagamento da fiança no valor de R$ 2 mil (dois mil reais), paga pelo clube paulista. Messias foi a uma delegacia perto do estádio para registrar o Boletim de Ocorrência (B.O.). O Superior Tribunal de Justiça Desportiva (STJD) anunciou a punição do goleiro Rodolfo, do Oeste, por injúria racial contra o jogador Messias com a pena de cinco jogos de suspensão e multa de R$ 5 mil. O mesmo tribunal absolveu o clube Oeste Futebol Clube.O clube entrou com recurso da decisão e em novo julgamento realizado em dezembro de 2017 (Processo 423/2017), a defesa afirmou que nenhum outro atleta presenciou o fato, ficando apenas a palavra da vítima contra a do acusado (que negava ter dito algo). Além disso, os advogados destacaram que a família de Rodolfo é negra. Desta forma o júri decidiu pela absolvição do atleta por ausência de provas. Não foram encontradas informações se após o registro do B.O. a vítima entrou com representação para abertura de processo judicial.</t>
  </si>
  <si>
    <t xml:space="preserve">Rodolfo </t>
  </si>
  <si>
    <t xml:space="preserve">O Superior Tribunal de Justiça Desportiva (STJD) anunciou a punição do goleiro Rodolfo, do Oeste, por injúria racial contra o jogador Messias com a pena de cinco jogos de suspensão e multa de R$ 5 mil. O clube Oeste Futebol Clube foi absolvido. Após recurso da decisão e em novo julgamento o júri decidiu pela absolvição do atleta por ausência de provas. </t>
  </si>
  <si>
    <t>Rodolfo Alves, atleta do Oeste Futebol Clube.</t>
  </si>
  <si>
    <t>121/2017</t>
  </si>
  <si>
    <t>Renê Júnior</t>
  </si>
  <si>
    <t>Fonte Nova</t>
  </si>
  <si>
    <t>O volante Renê Júnior, do Bahia, acusou o centroavante colombiano Santiago Tréllez, do Vitória, de racismo. O atleta do Bahia disse que foi chamado de “macaco” pelo adversário.</t>
  </si>
  <si>
    <t>A cena do jogador Renê Júnior saindo de campo chorando copiosamente alegando ter sido vítima de racismo não pode passar em branco e contribuiu para que o árbitro Marcelo de Lima Henrique, registrasse em súmula o episódio. Santigo Tréllez foi denunciado pelo Superior Tribunal de Justiça esportiva (STJD) e enquadrado no artigo 243-G do Código Brasileiro de Justiça Desportiva, que aborda a prática de “ato discriminatório, desdenhoso ou ultrajante, relacionado a preconceito em razão de origem étnica, raça, sexo, cor, idade, condição de pessoa idosa ou portadora de deficiência”. A pena prevista era de suspensão de 5 a 10 partidas, além de multa que pode variar entre R$ 100 a R$ 100 mil. A Quarta Comissão Disciplinar julgou e votou pela absolvição do atleta.</t>
  </si>
  <si>
    <t>Santiago Trellez</t>
  </si>
  <si>
    <t>Em julgamento no Superior Tribunal de Justiça esportiva (STJD) o atleta, Santiago Tréllez, foi absolvido.</t>
  </si>
  <si>
    <t>Santiago Tréllez, do Vitória</t>
  </si>
  <si>
    <t>122/2017</t>
  </si>
  <si>
    <t>Torcida Lanús</t>
  </si>
  <si>
    <t>Lanús x Grêmio</t>
  </si>
  <si>
    <t>La Fortaleza</t>
  </si>
  <si>
    <t>Lanús</t>
  </si>
  <si>
    <t>Argentina</t>
  </si>
  <si>
    <t>Um vídeo gravado pelos torcedores gremistas mostra um torcedor argentino, do Lanús, imitando um macaco por cerca de cinco minutos, além de fazer gestos contra os brasileiros.</t>
  </si>
  <si>
    <t>O caso repercutiu nas redes sociais e foi debatido pela mídia brasileira. Não foram encontradas informações que a CONMEBOL (Confederação Sul-Americana de Futebol), através do seu Comitê Disciplinar, tenha realizado alguma ação para combater a discriminação. Também não foram encontradas informações de que o Club Atlético Lanús tenha feito alguma manifestação em relação ao vídeo publicado.</t>
  </si>
  <si>
    <t>124/2017</t>
  </si>
  <si>
    <t>Torcida Independiente</t>
  </si>
  <si>
    <t>Independiente x Flamengo</t>
  </si>
  <si>
    <t>Avellaneda</t>
  </si>
  <si>
    <t>Copa Sul-americana</t>
  </si>
  <si>
    <t>Torcedores do Independiente são flagrados imitando macaco em direção aos torcedores do Flamengo.</t>
  </si>
  <si>
    <t>O time argentino divulgou uma nota que ressaltou que “repudia terminantemente qualquer manifestação de racismo e que se compromete a investigar até as últimas consequências para sancionar a aqueles que tenham realizado tais lamentáveis atos”. Para o jogo de volta da final da Copa Sul-Americana, o Flamengo lançou uma campanha contra o racismo após o ocorrido na Argentina. A CONMEBOL (Confederação Sul-Americana de Futebol) condenou o Independiente a pagar multa no valor de US$ 15 mil (quinze mil dólares), além de uma advertência para sanções mais severas em caso de reincidência.</t>
  </si>
  <si>
    <t>A CONMEBOL (Confederação Sul-Americana de Futebol) condenou o Independiente a pagar multa no valor de US$ 15 mil (quinze mil dólares), além de uma advertência para sanções mais severas em caso de reincidência.</t>
  </si>
  <si>
    <t>Club Atlético Independiente</t>
  </si>
  <si>
    <t>125/2017</t>
  </si>
  <si>
    <t>Flamengo x Independiente</t>
  </si>
  <si>
    <t>Câmeras de TV flagram um torcedor argentino imitando um macaco na direção de torcedores do Flamengo no Maracanã.</t>
  </si>
  <si>
    <t>A unidade disciplinar da CONMEBOL (Confederação Sul-Americana de Futebol) “investiga”. Os dirigentes do clube argentino foram notificados sobre a investigação e possibilidade de punição. Não foram encontradas informações de que o clube tenha recebido alguma punição devido a esse fato exclusivamente. As informações obtidas em relação a punição por atos racistas dos torcedores do Independiente referem-se ao primeiro jogo das finais da Copa Sul-Americana contra o Flamengo, realizado na Argentina.</t>
  </si>
  <si>
    <t>126/2018</t>
  </si>
  <si>
    <t>Torcedores do Bahia</t>
  </si>
  <si>
    <t>Um turista paulista comentou nas redes sociais que passeando pela cidade de Salvador identifi cou muitas camisas do Bahia e poucas do Vitória sendo usadas pelos seus torcedores. Um rubro-negro respondeu a sua postagem dizendo que ela deveria ter visto muitos “vendedores de picolé, de queijinho e limpador de para-brisas nas sinaleiras”.</t>
  </si>
  <si>
    <t>A resposta não foi bem recebida por muitos torcedores, considerando-a preconceituosa, racista e elitista. O Bahia iniciou uma campanha nas redes sociais reafirmando o seu título de “clube do povo”, com ênfase na Nação Tricolor. O presidente do clube, Guilherme Bellintani, utilizou as redes sociais para comentar o assunto. O dirigente falou da infância e revelou que costumava dar carona a vendedores de picolé e de queijinho que trabalhavam no caminho da Fonte Nova. Sem informações de qualquer punição. O perfil no Twitter utilizado para menosprezar os torcedores tricolores foi alterado ou excluído.</t>
  </si>
  <si>
    <t>127/2018</t>
  </si>
  <si>
    <t>C.D.S.F</t>
  </si>
  <si>
    <t>Não ideitificado</t>
  </si>
  <si>
    <t>Campeonato Amador</t>
  </si>
  <si>
    <t>C. D. S. F., 19 anos informou que estava em uma partida de futebol, quando em um determinado momento, a pessoa até o momento identificada como “BEL” o ofendeu chamando-o de “macaco”.</t>
  </si>
  <si>
    <t>Não encontramos informações sobre o incidente. Inclusive mesmo a notícia é possível de ser encontrada novamente.</t>
  </si>
  <si>
    <t>Bel</t>
  </si>
  <si>
    <t>128/2018</t>
  </si>
  <si>
    <t>Flamengo</t>
  </si>
  <si>
    <t>Flamengo x Bangu</t>
  </si>
  <si>
    <t>Luso-Brasileiro</t>
  </si>
  <si>
    <t>Campeonato Carioca</t>
  </si>
  <si>
    <t>Foi encontrado em um dos banheiros do
estádio insultos racistas.</t>
  </si>
  <si>
    <t>O Flamengo era o responsável pela manutenção da Ilha do Urubu nos dias em que mandava as suas partidas de futebol.
No entanto,como o estádio também é usado pela Portuguesa, proprietária do local, não é possível dizer que o ato foi cometido numa partida do Rubro-negro. Sem identificação de quem escreveu e parede foi repintada.</t>
  </si>
  <si>
    <t>129/2018</t>
  </si>
  <si>
    <t>Uesclei Pereira dos Santos</t>
  </si>
  <si>
    <t>Nacional Fast Clube x Peñarol Atlético Clube</t>
  </si>
  <si>
    <t>Estádio Municipal Carlos Zamith</t>
  </si>
  <si>
    <t>Manaus</t>
  </si>
  <si>
    <t>O assistente Uesclei Regison Pereira dos
Santos afirmou que foi chamado de “macaco”,
entre outras ofensas racistas por torcedores
do Fast.</t>
  </si>
  <si>
    <t>O caso foi relatado na súmula da partida acusando parte da torcida do Fast de proferir uma série de insultos após marcação de um impedimento no final da partida.Inicialmente, por dois votos a um, o TJD-AM condenou o Fast à perda de três pontos, pagamento de multa de mil reais e perda de dois mandos de campo. O clube recorreu da decisão e em novo julgamento o Pleno alterou a decisão inicial. O clube foi declarado culpado, por cinco votos a quatro, mas acabou isento da perda de pontos e mando de campo. Por outro lado, a multa foi acrescida de R$ 1 mil para R$ 3 mil. Seis julgadores votaram na sessão.</t>
  </si>
  <si>
    <t>O TJD-AM condenou o Fast à perda de três pontos, pagamento de multa de R$ 3 mil e perda de dois mandos de campo. O clube recorreu da decisão e em novo julgamento o Pleno retirou a perda de pontos e mando de campo.</t>
  </si>
  <si>
    <t xml:space="preserve">Nacional Fast Clube </t>
  </si>
  <si>
    <t>130/2018</t>
  </si>
  <si>
    <t>Weslen Aparecido dos Reis</t>
  </si>
  <si>
    <t>Paranavaí x Rolândia</t>
  </si>
  <si>
    <t>Estádio Municipal Dr. Waldemar Wagner</t>
  </si>
  <si>
    <t>Paranavaí</t>
  </si>
  <si>
    <t>Divisão de acesso Paranaense</t>
  </si>
  <si>
    <t>O árbitro Cleber de Jesus Ausec Ludwing, foi informado durante a partida que o lateral- direito Weslen, do Rolândia, teria sofrido
ofensas racistas de um torcedor do Paranavaí.</t>
  </si>
  <si>
    <t>Após o apito final o juiz confirmou o fato com um de seus assistentes, que identificaram o homem em questão, sendo reportado a Polícia Militar que, por sua vez, efetuou a prisão. Por ser um processo que se tramita em segredo de justiça, não temos informação se o processo em questão já foi concluído e definida a sentença final ou se ainda está em andamento. Não encontramos informações de julgamento por parte do TJD – PR.</t>
  </si>
  <si>
    <t>131/2018</t>
  </si>
  <si>
    <t>Torcida do Grêmio</t>
  </si>
  <si>
    <t>Independiente x Grêmio</t>
  </si>
  <si>
    <t>Estádio Libertadores da América</t>
  </si>
  <si>
    <t>Recopa Sul-americana</t>
  </si>
  <si>
    <t>Registro publicado por torcedor gremista no Twitter mostra torcedor do clube argentino imitando macaco em direção a área ocupada pelos brasileiros no estádio.</t>
  </si>
  <si>
    <t>Após analisar as imagens a Comissão Disciplinar da Conmebol pronunciou
de que abriria expediente contra o clube argentino sobre o caso, com envio de ofício ao Independiente. Não encontramos informações de advertência ou punição por parte da CONMEBOL.</t>
  </si>
  <si>
    <t>132/2018</t>
  </si>
  <si>
    <t>Vini Jr</t>
  </si>
  <si>
    <t>Torcedora do ES tira foto com Vinicius Jr. do Flamengo e é alvo de comentário racista. “Dois Macaco”, disse o autor do comentário racista, após vítima publicar foto em rede social. Ela prestou queixa na polícia e disse que vai processar o agressor. O crime também  é cometido contra o atleta Vinicius Jr., pois o comentário racista diz: “Dois macacos”.</t>
  </si>
  <si>
    <t>Luciana(torcedora) denunciou as ofensas na Delegacia de Crime Eletrônicos, no dia 16/02/2018.Não encontramos informações sobre o processo judicial contra o autor das ofensas racistas.</t>
  </si>
  <si>
    <t>133/2018</t>
  </si>
  <si>
    <t>Jailson</t>
  </si>
  <si>
    <t>O ex-jogador, Edílson Capetinha causou revolta de diferentes torcidas ao opinar sobre o goleiro Jailson na televisão, em programa de TV. O ex-atleta Ex-jogador foi acusado de racismo por internautas.</t>
  </si>
  <si>
    <t>Acusado de declaração racista sobre Jailson, Edilson se defendeu
dizendo: “É em tom de piada”. Edilson revelou que as declarações que geraram tanta polêmica foram responsáveis por ele não ter assinado
contrato com a Fox, após o acerto de todos os detalhes contratuais.</t>
  </si>
  <si>
    <t>134/2018</t>
  </si>
  <si>
    <t>Antônio Eduardo dos Santos(Kanu)</t>
  </si>
  <si>
    <t>Em uma publicação no instagram oficial do Vitória, um internauta, que se diz torcedor do São Paulo, usou um emoji de macaco acompanhado de uma bola da cor preta ao lado do nome do defensor rubro negro.</t>
  </si>
  <si>
    <t>Sem informações de qualquer pronunciamento ou atitude tanto do atleta como do clube.</t>
  </si>
  <si>
    <t>135/2018</t>
  </si>
  <si>
    <t>Hélio Júnio(Helinho)</t>
  </si>
  <si>
    <t>Nacional x São Paulo</t>
  </si>
  <si>
    <t>Copa Libertadores da América - Sub20</t>
  </si>
  <si>
    <t>Enquanto o garoto de 17 anos caminhava para cobrar um escanteio, aos 20minutos do primeiro tempo, um torcedor o chamou de “macaco” duas vezes.</t>
  </si>
  <si>
    <t>São Paulo divulga “Nota de Repúdio” e informou que “buscará as medidas
judiciais cabíveis”.  Não encontramos informações de advertência ou punição da CONMEBOL.</t>
  </si>
  <si>
    <t>136/2018</t>
  </si>
  <si>
    <t>Reservas do Vasco da Gama</t>
  </si>
  <si>
    <t>Jorge Wilstermann x Vasco da Gama</t>
  </si>
  <si>
    <t>Olímpico Pátria</t>
  </si>
  <si>
    <t>Cochabamba</t>
  </si>
  <si>
    <t>Bolívia</t>
  </si>
  <si>
    <t>Enquanto os jogadores reservas do Vasco da Gama estavam no aquecimento, gritos por parte da torcida boliviana chamando-os
de “macacos” ecoaram nas arquibancadas do Olímpico Pátria.</t>
  </si>
  <si>
    <t>Ouvindo os insultos racistas, os atletas se dirigiram a policiais presentes
no estádio e denunciaram. Os repórteres que relataram as ofensas na transmissão da partida, também conseguiram perceber os sons que partiam das arquibancadas. Nada constou na súmula do jogo referente ao ocorrido.
Como terminou: Não encontramos informações de advertência ou punição da
CONMEBOL.</t>
  </si>
  <si>
    <t>137/2018</t>
  </si>
  <si>
    <t>No momento em que Vinicius Jr. Deixava o gramado do Nilton Santos, vários alvinegros xingaram, cuspiram e fizeram gestos obscenos para o camisa 10. Uma senhora cometeu racismo
contra o atleta, chamando-o de “viado, neguinho safado”.</t>
  </si>
  <si>
    <t>Na súmula da partida, o árbitro disse que Vinícius Jr ‘saiu de campo sem problemas’, não havendo menção às possíveis ofensas raciais recebidas pelo atacante do Flamengo. As imagens da TV captaram as palavras racistas “Neguinho safado” proferidas por uma torcedora do Botafogo. O Tribunal de Justiça Desportiva do Rio de Janeiro (TJD-RJ) absolveu o Botafogo por maioria de votos em processo sobre supostas injúrias raciais proferidas por
torcedores alvinegros contra Vinicius Júnior, atacante do Flamengo. O Tribunal se baseou no primeiro depoimento do atacante, que disse não ter conseguido identificar as ofensas. Ele foi convocado a prestar mais esclarecimentos, mas não compareceu devido à partida contra a Ponte Preta, em Campinas, pela Copa do Brasil. O clube pediu o adiamento da sessão, o que não ocorreu.</t>
  </si>
  <si>
    <t>O Tribunal de Justiça Desportiva do Rio de Janeiro (TJD-RJ) absolveu o Botafogo por maioria de votos em processo sobre supostas injúrias raciais proferidas por</t>
  </si>
  <si>
    <t>Botafogo de Futebol e Regatas</t>
  </si>
  <si>
    <t>138/2018</t>
  </si>
  <si>
    <t>Henrique Teixeira(Robinho)</t>
  </si>
  <si>
    <t>Vilhena X Vilhenense</t>
  </si>
  <si>
    <t>Portal da Amazônia</t>
  </si>
  <si>
    <t>Vilhena</t>
  </si>
  <si>
    <t xml:space="preserve">Norte </t>
  </si>
  <si>
    <t>Campeonato Rondoniense</t>
  </si>
  <si>
    <t>O atacante Henrique Teixeira, conhecido como Robinho, acusa um torcedor do time rival, o Vilhenense, de chamá-lo de "macaco" e mandá-lo "comer banana".</t>
  </si>
  <si>
    <t>A Federação de Futebol do Estado de Rondônia (FFER) publicou manifestação
de repudio ao ato de racismo. O VEC publicou nota de repúdio ao ato e apoio ao atleta dizendo que buscaria as medidas judiciais cabíveis. Não foram encontrados registro sobre o andamento do caso e mesmo se realmente um processo foi aberto.</t>
  </si>
  <si>
    <t xml:space="preserve">torcedores alvinegros contra Vinicius Júnior, atacante do Flamengo. </t>
  </si>
  <si>
    <t>139/2018</t>
  </si>
  <si>
    <t>Eduardo Viana da Coosta</t>
  </si>
  <si>
    <t>VS-47 x VS-20</t>
  </si>
  <si>
    <t>Estádio Local Canaã dos Carajos</t>
  </si>
  <si>
    <t>Canaã dos Carajos</t>
  </si>
  <si>
    <t>Campeonato rural</t>
  </si>
  <si>
    <t>Árbitro sofreu injúria racial, além de ameaça de morte, durante partida do Campeonato Rural (Amador), sendo chamado de
‘macaco’, ‘nego-urubu’ e ‘nego safado’ por torcedor da VS.</t>
  </si>
  <si>
    <t>Eduardo Viana da Silva, suspendeu a partida temporariamente e só voltou a apitar quando a situação foi resolvida. A Liga Esportiva de Canaã dos Carajás se manifestou através de nota de repúdio e também pediu para as autoridades exigirem do agressor uma retratação pública e a punição prevista na lei. Eduardo informou após a partida que faria um Boletim de Ocorrência (B.O.).
 Não foram encontrados registros de que o caso foi levado adiante tanto na justiça desportiva, tão pouco na justiça comum.</t>
  </si>
  <si>
    <t>140/2018</t>
  </si>
  <si>
    <t>Paulo Marcos Ribeiro(Paulão</t>
  </si>
  <si>
    <t>Torcedores do Vasco da Gama indignados com a atuação do zagueiro, na decisão do Campeonato Carioca contra o Botafogo,
ofenderam o atleta de forma racista.</t>
  </si>
  <si>
    <t>O Vasco através das suas redes sociais condenou as ofensas racistas dirigidas a Paulão.  Não encontramos informações de ações do atleta Paulão, do clube ou da justiça para punir os responsáveis pelas ofensas.</t>
  </si>
  <si>
    <t>141/2018</t>
  </si>
  <si>
    <t>Torcedores XV Piracicaba</t>
  </si>
  <si>
    <t>Guarani x XV de Piracicaba</t>
  </si>
  <si>
    <t>Brinco de Ouro da Princesa</t>
  </si>
  <si>
    <t>Campinas</t>
  </si>
  <si>
    <t>Paulista A2</t>
  </si>
  <si>
    <t>Um torcedor que estava nas vitalícias do Brinco de Ouro fez gestos imitando um macaco e esfregou a mão sobre o braço, em alusão à cor negra.</t>
  </si>
  <si>
    <t>O Guarani publicou nota repudiando o gesto do torcedor e informou que ajudaria no que fosse possível para identificar o responsável pelo ato. Como terminou: Não foram encontrados registros de manifestação da Federação Paulista de Futebol ou de que o caso tenha sido levado adiante.</t>
  </si>
  <si>
    <t>142/2018</t>
  </si>
  <si>
    <t>Marcelo Kênia</t>
  </si>
  <si>
    <t>Interporto x Araguaína</t>
  </si>
  <si>
    <t>General Sampaio</t>
  </si>
  <si>
    <t>Porto Nacional</t>
  </si>
  <si>
    <t>Tocantinense</t>
  </si>
  <si>
    <t>Jogador alegou que foi xingado pela torcida me xingou, ‘me chamou de macaco e de sem cor’.</t>
  </si>
  <si>
    <t>Marcelo disse que chegou a reclamar da situação para os policiais que faziam a segurança no estádio, mas a partida não foi interrompida. O árbitro do jogo, Dagoberto Modesto, que afirmou não ter percebido as injúrias e por isso não paralisou a partida e que por não ter conhecimento do acontecimento, nada foi relatado na súmula. Não foram encontradas
informações se o agressor foi identificado, se ocorreu registro de Boletim de Ocorrência, se a Federação local tomou alguma medida de punição ou mesmo se o próprio Araguaína entrou em campo com a faixa de apoio.</t>
  </si>
  <si>
    <t>143/2018</t>
  </si>
  <si>
    <t>Torcedores são-paulinos</t>
  </si>
  <si>
    <t>Rosario Central x São Paulo</t>
  </si>
  <si>
    <t>Gigante del Arroyito</t>
  </si>
  <si>
    <t>Rosário</t>
  </si>
  <si>
    <t>Copa Sul-Americana</t>
  </si>
  <si>
    <t>Torcedores do Rosário Central foram flagrados chamando os torcedores brasileiros de macacos e oferecendo bananas verbalmente.</t>
  </si>
  <si>
    <t>A diretoria do São Paulo informou que analisaria as imagens e estudaria
a possibilidade de intervenção junto a Conmebol ou ao próprio Rosário Central nos dias seguintes pelas cenas de racismo. Em sua conta oficial no Twitter, o clube lamentou o episódio. Torcedores do São Paulo e do Rosário
Central fizeram faixa contra o racismo. Sem informações de advertência ou punição pela CONMEBOL.</t>
  </si>
  <si>
    <t>144/2018</t>
  </si>
  <si>
    <t>Torcedores cotinthianos</t>
  </si>
  <si>
    <t>Independiente x Corinthians</t>
  </si>
  <si>
    <t>Copa Libertadores</t>
  </si>
  <si>
    <t>Um torcedor do Independiente foi flagrado cometendo atos de injúria racial contra a torcida do Corinthians. Em vídeo compartilhado por corintianos, um torcedor do Independiente aparece imitando um macaco na direção dos rivais.</t>
  </si>
  <si>
    <t>Em entrevista, uma torcedora corintiana relatou cenas de hostilidades por parte dos argentinos, atos racistas e machistas. Completou que polícias presenciaram o fato e nada fizeram, inclusive que um riu do acontecido. Não foram encontradas informações de manifestação por parte do clube paulista em relação ao ocorrido. Sem informações de advertência ou punição pela CONMEBOL.</t>
  </si>
  <si>
    <t>145/2018</t>
  </si>
  <si>
    <t>Torcedores vascainos</t>
  </si>
  <si>
    <t>Racing x Vasco</t>
  </si>
  <si>
    <t>Presidente Peron</t>
  </si>
  <si>
    <t>Torcedores do clube argentino imitaram macacos para os vascaínos que estavam no setor visitante.</t>
  </si>
  <si>
    <t>Racing diz não ao racismo e promete identificar os torcedores que imitaram
macaco para vascaínos. Sem informações de advertência ou punição pela CONMEBOL, tão pouco informação de alguma punição interna por parte do clube argentino.</t>
  </si>
  <si>
    <t>146/2018</t>
  </si>
  <si>
    <t>Torcedores palmeirenses</t>
  </si>
  <si>
    <t>Boca Juniors x Palmeiras</t>
  </si>
  <si>
    <t>Bombonera</t>
  </si>
  <si>
    <t>Buenos Aires</t>
  </si>
  <si>
    <t>Torcedores do Palmeiras foram vítimas de racismo na Argentina. Durante a partida foram vistas imitações de macaco por parte dos torcedores argentinos direcionadas aos brasileiros.</t>
  </si>
  <si>
    <t>Apesar de vídeo que comprova o ato, não foram encontradas informações
de qualquer manifestação por parte dos clubes envolvidos ou das suas respectivas entidades/federações esportivas.  Sem informações de advertência ou punição pela CONMEBOL.</t>
  </si>
  <si>
    <t>147/2018</t>
  </si>
  <si>
    <t>Torcedores vascaínos</t>
  </si>
  <si>
    <t>Vasco da Gama x Racing</t>
  </si>
  <si>
    <t>São Januário</t>
  </si>
  <si>
    <t>Durante a partida em São Januário alguns torcedores do Racing atiraram bananas para o lado dos vascaínos.</t>
  </si>
  <si>
    <t>Nem seguranças do Vasco, nem GEPE (Grupamento Especializado em Policiamento de Estádios) registraram ofensas raciais com cascas de banana em São Januário. Fotos circularam na Internet mostram torcedores do Vasco segurando cascas de banana que teriam sido jogadas contra eles pela torcida do Racing.</t>
  </si>
  <si>
    <t>148/2018</t>
  </si>
  <si>
    <t>Cabo J. Carlos</t>
  </si>
  <si>
    <t>Corinthians x Independiente</t>
  </si>
  <si>
    <t>Polícia Militar de São Paulo havia denunciado supostas ofensas racistas de Romero, atacante argentino do Independiente, ao policial J. Carlos. No entanto, posteriormente, a organização voltou atrás e disse que não era possível identificar se houve racismo ao cabo J. Carlos.</t>
  </si>
  <si>
    <t>O atleta chegou até mesmo a ser levado pelo Juizado Especial Criminal (Jecrim) da Arena Corinthians por conta do fato ocorrido. Em resposta à imprensa, Romero se desculpou várias vezes. Sem informações de advertência
ou punição pela CONMEBOL.</t>
  </si>
  <si>
    <t>149/2018</t>
  </si>
  <si>
    <t>Marcos Moreira de Souza(Marquinhos)</t>
  </si>
  <si>
    <t>URT x Macaé</t>
  </si>
  <si>
    <t>Brasileiro D</t>
  </si>
  <si>
    <t>O árbitro Vinicius Gomes do Amaral registrou que o camisa 10 do Macaé, Marquinhos, foi chamado de “macaco” por um torcedor identificado do URT.</t>
  </si>
  <si>
    <t>O atleta, segundo relato do juiz, não registrou boletim de ocorrência.
Mas registriu o fato na súmula da partida. O caso gerou denúncia e
foi julgado no STJD. O URT foi absolvido em primeira instância na Quarta Comissão Disciplinar. A Procuradoria recorreu e o Pleno manteve a absolvição, por maioria dos votos.</t>
  </si>
  <si>
    <t>O URT foi absolvido em primeira instância nno STJD. A Procuradoria recorreu e o Pleno manteve a absolvição, por maioria dos votos.</t>
  </si>
  <si>
    <t>União Recreativa dos Trabalhadores (URT)</t>
  </si>
  <si>
    <t>150/2018</t>
  </si>
  <si>
    <t>Lucas Mauro</t>
  </si>
  <si>
    <t>Amperica x Bandeirante</t>
  </si>
  <si>
    <t>Benedito Teixeira</t>
  </si>
  <si>
    <t>São José do Rio Preto</t>
  </si>
  <si>
    <t>O árbitro José de Araujo Ribeiro Junior relatou que o jogador Lucas Mauro, do Bandeirante, disse a ele que Detto Pereira, treinador
do América, teria dito “Olha a sua cor”.</t>
  </si>
  <si>
    <t>O árbitro, José de Araújo Ribeiro Junior, relatou em súmula o suposto
caso de racismo. O processo no TJD recebeu o número n. 529/18 e no caso, foi denunciado o treinador Carlos Donizete Pereira que, pelas suas atitudes no jogo em referência, recebeu duas partidas de punição mais uma advertência.</t>
  </si>
  <si>
    <t>O treinador Carlos Donizete Pereira foi punido pelo Tribunal de Justiça Desportiva (TJD-SP) por ofensa racista contra o atleta Lucas Mauro, do Bandeirante Esporte Clube.</t>
  </si>
  <si>
    <t>Carlos Donizete, treinador do América Futebol Clube (SP).</t>
  </si>
  <si>
    <t>151/2018</t>
  </si>
  <si>
    <t>Douglas Cabral de Barros(Bóia)</t>
  </si>
  <si>
    <t>Colorado x Planalto</t>
  </si>
  <si>
    <t>Ernesto Parise</t>
  </si>
  <si>
    <t>Veranópolis</t>
  </si>
  <si>
    <t>Copa Libertadores do Nordeste</t>
  </si>
  <si>
    <t>Jogador teria sido chamado de “nego macaco”.</t>
  </si>
  <si>
    <t>O jogador  registrou uma denúncia de racismo ocorrida em partida válida pela Copa Libertadores do Nordeste. Um homem que estava atrás da goleira teria o chamado de “nego macaco” e, ainda, teria dito que ele não sairia vivo de  campo. Colegas de equipe serviram de testemunhas, no registro policial. Não conseguimos informações sobre a ocorrência e se houve denúncia para abertura de processo. Sem informações de punição no âmbito esportivo.</t>
  </si>
  <si>
    <t>152/2018</t>
  </si>
  <si>
    <t>Ederson Baptista de Souza</t>
  </si>
  <si>
    <t>Dom Bosco x Corumbaense</t>
  </si>
  <si>
    <t>Arena Pantanal</t>
  </si>
  <si>
    <t>Cuiabá</t>
  </si>
  <si>
    <t>O jogador Robinho, do Corumbaense, acusou o jogador do Dom Bosco, Bruno Felipe Pereira dos Santos, de ter o chamado de ‘macaco’ ao final da partida.</t>
  </si>
  <si>
    <t>Robinho prestou queixa na delegacia logo após a partida. Segundo a PM, houve um tumulto logo depois do término do jogo e os atletas foram encaminhados à delegacia, um boletim de ocorrência foi registrado pela Polícia Militar. O árbitro registrou as ofensas em súmula. De acordo com a diretoria do Corumbaense, o boletim de ocorrência foi registrado como injúria. Na delegacia, foi assinado por ambos os atletas termo de renúncia em que eles manifestavam, por hora, que não desejavam representar criminalmente contra o outro. Sem informação de punição ao clube ou o atleta envolvido.</t>
  </si>
  <si>
    <t>Termo de renúncia</t>
  </si>
  <si>
    <t>Bruno Felipe</t>
  </si>
  <si>
    <t>153/2018</t>
  </si>
  <si>
    <t>Torcedores do Corinthians</t>
  </si>
  <si>
    <t>Apresentador fez piada sobre assalto à Arena Corinthians e revoltou torcedores: ”Estão roubando o próprio time agora, é isso”. Torcedores corintianos não receberam o comentário em tom de “brincadeira” e
consideraram uma discriminação social e racial perante determinados torcedores.</t>
  </si>
  <si>
    <t>Em nota, a Globo afi rmou que o jornalista “não teve a intenção de ofender” a torcida do Corinthians. “O apresentador José Roberto Burnier disse que jamais teve a intenção de ofender os corintianos, mas admite que, no improviso, acabou fazendo uma piada indevida que não reflete o pensamento dele e que, por isso, ele se desculpa”.</t>
  </si>
  <si>
    <t>154/2018</t>
  </si>
  <si>
    <t>Fox Sports e Roger Machado</t>
  </si>
  <si>
    <t>O humorista Rudy Landucci, conhecido por fazer imitações de jogadores e técnicos de futebol, fez uma paródia de Roger Machado, então técnico do Palmeiras. Porém, inúmeros internautas acusaram o programa de fazer a chamado "blackface", prática considerada racista no teatro. O "blackface" se popularizou, principalmente, no século 19 e início do século 20.</t>
  </si>
  <si>
    <t>O humorista pediu desculpas por imitação considerada racista no
Fox Sports. Na mensagem, Rudy explica que não teve intenção discriminatória e pediu desculpas a quem se sentiu ofendido pela brincadeira.  Sem informações de punição por parte da emissora ou de qualquer órgão
de justiça contra Rudy Landucci.</t>
  </si>
  <si>
    <t>155/2018</t>
  </si>
  <si>
    <t>Em um post dentro de um grupo no Facebook, um dos usuários usou uma foto em que o jogador aparece chorando, após a vitória
de dois a zero contra o time paranaense, e escreveu: “Primeira vez que vejo um macaco chorar”.</t>
  </si>
  <si>
    <t>O Flamengo enviou um ofício ao Ministério Público, no qual solicitava
a apuração do crime de injúria racial. O Presidente Eduardo Bandeira de Mello condenou atitude: “É uma coisa inadmissível, quem faz uma coisa dessas deve ser uma pessoa desprezível e merece todo o nosso repúdio".
Sem informações sobre se foi aberto processo e seu andamento.</t>
  </si>
  <si>
    <t>Oficio ao MP</t>
  </si>
  <si>
    <t>156/2018</t>
  </si>
  <si>
    <t>João Garcia</t>
  </si>
  <si>
    <t xml:space="preserve">Internet </t>
  </si>
  <si>
    <t>O radialista gaúcho, João Garcia, postou comentário racista sobre o jogo Japão x Senegal, que acabou empatado em 2 x 2 em partida
válida pela Copa da Rússia. Pouco depois do jogo, Garcia escreveu: “DUAS Culturas em campo: japoneses éticos, corretos, senegaleses
sujos, malandros: deu empate!”</t>
  </si>
  <si>
    <t>Sem informações de registro de B.O., processo ou punição.</t>
  </si>
  <si>
    <t>157/2018</t>
  </si>
  <si>
    <t>Fernando Luiz Rosa(Fernandinho)</t>
  </si>
  <si>
    <t>Fernandinho é alvo de ofensas racistas na web após eliminação do Brasil na Copa do Mundo da Rússia.</t>
  </si>
  <si>
    <t>Internautas fazem onda de apoio a Fernandinho após ofensas racistas. A Confederação Brasileira de Futebol (CBF) emitiu um comunicado repudiando as manifestações racistas contra Fernandinho, após a derrota do Brasil por 2 a 1 para a Bélgica, pelas quartas de final da Copa do Mundo da Rússia. Sem informações de abertura de processo ou punição aos envolvidos.</t>
  </si>
  <si>
    <t>158/2018</t>
  </si>
  <si>
    <t>Torcedos do Bahia</t>
  </si>
  <si>
    <t>Bahia x Cerro</t>
  </si>
  <si>
    <t>Pituaçu</t>
  </si>
  <si>
    <t>Torcedores do Cerro foram flagrados em atos de injúria racial, imitando macaco durante a partida contra o Bahia.</t>
  </si>
  <si>
    <t>Um vídeo filmado por um torcedor do Bahia foi divulgado nas redes
sociais mostrando um homem com a camisa da equipe uruguaia imitando um macaco. Não foi identificado manifestação de nenhum dos clubes envolvidos, nem de suas respectivas entidades/federações esportivas. Sem informações de advertência ou punição pela CONMEBOL.</t>
  </si>
  <si>
    <t>159/2018</t>
  </si>
  <si>
    <t>Rodrigo Junior Silva, Digão</t>
  </si>
  <si>
    <t>Fluminense x Defensor</t>
  </si>
  <si>
    <t>Digão revelou que sofreu racismo no Uruguai. Disse que foi vítima de discriminação por conta da cor de sua pele por parte um atleta da equipe uruguaia</t>
  </si>
  <si>
    <t>Atleta revelou os insultos que sofreu durante o programa “Jogo Sagrado”,
da Fox Sports. Atleta não prestou registro sobre o fato, caso não foi levado adiante. Sem informações de advertência ou punição pela CONMEBOL.</t>
  </si>
  <si>
    <t>160/2918</t>
  </si>
  <si>
    <t>Cerro Porteño x Palmeiras</t>
  </si>
  <si>
    <t>La Nueva Olla</t>
  </si>
  <si>
    <t>Assumpção</t>
  </si>
  <si>
    <t>Felipe Melo é chamado de macaco e fez gesto obsceno para torcedor no Paraguai.</t>
  </si>
  <si>
    <t>A atleta ofensas racistas enquanto entrava em campo para aquecer antes da partida. Câmeras da TV flagraram seu gesto obsceno Sem informações de advertência ou punição pela CONMEBOL, nem para o clube, nem para o atleta.</t>
  </si>
  <si>
    <t>161/2018</t>
  </si>
  <si>
    <t>Matheus Henrique</t>
  </si>
  <si>
    <t>São Bernardo x Ponte Preta</t>
  </si>
  <si>
    <t>Estádio Municipal Leonardo Barbieri</t>
  </si>
  <si>
    <t>Águas de Lindóia</t>
  </si>
  <si>
    <t>Paulista Sub-17</t>
  </si>
  <si>
    <t>Jogador do São Bernardo imita macaco para o jogador Matheus Henrique da Ponte Preta.</t>
  </si>
  <si>
    <t>O árbitro Leonardo de Jesus Sampaio registrou em súmula que o lateral-esquerdo Ryan, do São Bernardo, foi expulso por imitar um macaco, “com sons e gestos”, para o volante Matheus Henrique, da Ponte Preta. A direção da Ponte Preta disse que levaria o caso adiante para análise da Federação Paulista de Futebol (FPF) por considerar que o contexto foi de racismo. Já o
São Bernardo afirmou por intermédio da sua assessoria de imprensa que não há qualquer cabimento na acusação de racismo em virtude Ryan ser negro. O processo recebeu o n. 1082/18 (TJD-SP) e o atleta Ryan da Silva Rodrigues Cardoso foi absolvido.</t>
  </si>
  <si>
    <t>Ryan da Silva</t>
  </si>
  <si>
    <r>
      <t xml:space="preserve">O TJD-SP absolveu o atleta </t>
    </r>
    <r>
      <rPr>
        <sz val="11"/>
        <color rgb="FF000000"/>
        <rFont val="Aptos Narrow"/>
        <family val="2"/>
      </rPr>
      <t>Ryan da Silva Rodrigues Cardoso.</t>
    </r>
  </si>
  <si>
    <t>Ryan da Silva, atleta do São Bernardo Futebol Clube</t>
  </si>
  <si>
    <t>162/2018</t>
  </si>
  <si>
    <t>Torcedores do Santos</t>
  </si>
  <si>
    <t>Independiente x Santos</t>
  </si>
  <si>
    <t>Torcedor santista divulgou em redes sociais vídeo que mostra um torcedor do Independiente imitando um macaco em direção a torcida do Peixe.</t>
  </si>
  <si>
    <t>Torcedores registram Boletim de Ocorrência por racismo no estádio do
Independiente. O clube informou que estava analisando a situação para tomar medidas cabíveis. Sem informações de advertência ou punição pela CONMEBOL.</t>
  </si>
  <si>
    <t>163/2018</t>
  </si>
  <si>
    <t>Lucas Ribeiro</t>
  </si>
  <si>
    <t>Perfil ‘Canal do Leão’ é acusado de fazer piada racista com Lucas Ribeiro. “Roubava carteiras na Barra e agora rouba bolas na Série
A”, postou página do torcedor no Instagram.</t>
  </si>
  <si>
    <t>Sem informações de registro de B.O., de abertura de processo ou manifestação do clube.</t>
  </si>
  <si>
    <t>164/2018</t>
  </si>
  <si>
    <t>A.G.</t>
  </si>
  <si>
    <t>Campo do Frigorífico</t>
  </si>
  <si>
    <t>Barretos</t>
  </si>
  <si>
    <t>Campeonato de várzea de Barretos</t>
  </si>
  <si>
    <t>Um homem de 26 anos, identificado como A.G., estava jogando futebol no campo do Frigorifico, disse que no transcorrer da partida uma pessoa do sexo feminino, que estava identificada como diretora da equipe adversária por diversas vezes lhe chamou de “macaco”, “preto fedido” e “galinha de macumba”, o que o fez se sentir ofendido.</t>
  </si>
  <si>
    <t>O atleta que é morador o bairro América, esteve na delegacia informando
o acontecido e registrando o caso.  Não foram encontradas informações sobre o andamento do caso, apenas dois jornais da região repercutiram o caso. Não há informações sobre andamento do processo na justiça comum, por ter registrado Boletim de Ocorrência (B.O.) o caso corre em sigilo de justiça.</t>
  </si>
  <si>
    <t>165/2018</t>
  </si>
  <si>
    <t>Luiz Ricardo Alves(Sassá)</t>
  </si>
  <si>
    <t>O atacante do Cruzeiro Sassá, recebeu ofensas e ameaças nas redes sociais após jogo entre o time mineiro e o Palmeiras, pela
semifinal da Copa do Brasil. Várias mensagens têm cunho racista, como “escravo maldito” e “isso tudo é culpa da princesa Isabel, não era nem para estar na rua esse marginal”.</t>
  </si>
  <si>
    <t>166/2018</t>
  </si>
  <si>
    <t>Anderson Vital(Dedé)</t>
  </si>
  <si>
    <t>Após o jogo entre Cruzeiro e Boca Juniors, pela Copa Libertadores da América, o zagueiro Dedé foi vítima de racismo na internet por parte de torcedores xeneizes. Termos como “macaco”, “negro asqueroso” entre outros foram vistos nas redes sociais.</t>
  </si>
  <si>
    <t xml:space="preserve"> Nenhum dos clubes, nem atleta comentaram sobre o caso. Sem informações de qualquer punição aos envolvidos ou notifi cação da CONMEBOL.</t>
  </si>
  <si>
    <t>167/2018</t>
  </si>
  <si>
    <t>Durante entrevista ao canal TyC Sports, da Argentina, o lateral direito Buffarini, do Boca Juniors, criticou o zagueiro Dedé por força excessiva e concordou com repórter quando o comparou o brasileiro ao 'King Kong'.</t>
  </si>
  <si>
    <t>Sem informações de punição aos envolvidos.</t>
  </si>
  <si>
    <t>168/2018</t>
  </si>
  <si>
    <t>Everaldo</t>
  </si>
  <si>
    <t>MEC x União</t>
  </si>
  <si>
    <t>Passo das Emas</t>
  </si>
  <si>
    <t>Lucas de Rio Verde</t>
  </si>
  <si>
    <t>Municipal Amador</t>
  </si>
  <si>
    <t>O juiz da partida, Everaldo, disse que o atleta Elaerte do União lhe chamou de “Preto Safado” e “Vagabundo”.</t>
  </si>
  <si>
    <t>O atleta envolvido na suposta injúria racial foi expulso da partida. Não foram encontrados registros de manifestações pós partida, do envolvidos no caso (atleta, juiz ou clubes), tão pouco alguma manifestação da organização do campeonato. Não há informação se ocorreu registro de B.O. por parte do juiz agredido.</t>
  </si>
  <si>
    <t>Elaerte</t>
  </si>
  <si>
    <t>169/2018</t>
  </si>
  <si>
    <t>Torcedores argentinos</t>
  </si>
  <si>
    <t>Após vitória do Brasil em clássico sul-americano, o twitter oficial da AFA, Associação Argentina de Futebol, foi alvo de provocações de torcedores brasileiros, mas os torcedores argentinos não gostaram e responderam com ofensas racistas, com posts de imagens de macacos.</t>
  </si>
  <si>
    <t>Sem informações de qualquer punição aos envolvidos.</t>
  </si>
  <si>
    <t>170/2018</t>
  </si>
  <si>
    <t>Quadro de Felipe Melo, pendurado na sala da sua casa, em que mostra o volante em uma disputa de bola com Lionel Messi, repercute como provocação e argentinos respondem com racismo, alguns responderam xingamentos racistas. "Negro fracassado"
e "Esse cara negro pediu uma foto com a 'Pulga' e como foi ignorado teve de fazer uma foto gigantesca com a única que encontrou", "Quando se aposentar, vai trocar tiro com alguém em uma favela", escreveram.</t>
  </si>
  <si>
    <t>171/2018</t>
  </si>
  <si>
    <t>Reforço Olária</t>
  </si>
  <si>
    <t>A foto de um rapaz negro à frente de um painel do Olaria Atlético Clube viralizou com uma piada de conotação racista. O meme,
que circulou no Twitter, em páginas populares do Facebook e no WhatsApp, brinca com a aparência do retratado e o compara com prisioneiros em operações policiais. “Parece que está sendo preso, mas é só o novo reforço do Olaria”.</t>
  </si>
  <si>
    <t>o vice-presidente de futebol do Olaria, que está na segunda divisão
do Campeonato Carioca, afirmou que o viral é fake. “Não sei quem é esse garoto, nunca vi na vida. Nem jogadores contratados nós temos”, disse Roberto Gaúcho, irritado com a repercussão da foto. “Já recebi umas 50 mil
mensagens hoje. Provavelmente esse menino é vítima de uma brincadeira de muito mau gosto”, disse. Uma das páginas (Manual do Jogador Ruim) que viralizou a imagem, no Facebook, disse que o responsável pela postagem
foi afastado. Sem informações de processo ou punição aos envolvidos.</t>
  </si>
  <si>
    <t>172/2019</t>
  </si>
  <si>
    <t>Leonardo</t>
  </si>
  <si>
    <t>São Paulo x Cruzeiro</t>
  </si>
  <si>
    <t>O atacante Leonardo, do Cruzeiro, sofreu racismo no seu Instagram depois da derrota nos pênaltis para o São Paulo nas quartas de final da Copa São Paulo de Futebol Júnior. Um
dos xingamentos, o torcedor chamou o jogador de “macaco preto” e em outro que iria fazer “macumba para você quebrar a perna”.</t>
  </si>
  <si>
    <t>O caso teve repercussão na internet. Após os ataques negativos, torcedores cruzeirenses começaram a enviar mensagem de apoio a Leonardo. Não foram encontradas informações de desdobramentos do caso.</t>
  </si>
  <si>
    <t>173/2019</t>
  </si>
  <si>
    <t>Clebio Querino</t>
  </si>
  <si>
    <t>Ceilância x Bolamense</t>
  </si>
  <si>
    <t>Maria de Lourdes Abadia</t>
  </si>
  <si>
    <t>Ceilância</t>
  </si>
  <si>
    <t>Brasiliense</t>
  </si>
  <si>
    <t>Goleiro do Bolamense é vítima de racismo. Em nota divulgada, a torcida informa que o torcedor foi retirado
do grupo de torcedores. “</t>
  </si>
  <si>
    <t>Julgamento termina empatado e Ceilândia é inocentado de caso de racismo contra goleiro do Bolamense. Com o empate em 2×2 nos votos, de acordo com o
artigo 132 do CBJD, prevalece a situação de que o resultado é sempre favorável ao denunciado e o presidente não pode dar o voto de desempate. Assim, o Ceilândia foi absolvido do caso e continuará jogando normalmente o Candangão 2019, TJD-DF.</t>
  </si>
  <si>
    <t>O Ceilândia foi absolvido pelo TJD-DF da acusação de racismo contra o goleiro Clebio Querino (do Bolamense).  A decisão ocorreu devido a um empate de 2 × 2 votos entre os auditores, resultando em decisão favorável ao clube denunciado, conforme as regras processuais desportivas (Artigo 132 do CBJD).</t>
  </si>
  <si>
    <t>Ceilândia Esporte Clube</t>
  </si>
  <si>
    <t>174/2019</t>
  </si>
  <si>
    <t>Juventude x Internacional</t>
  </si>
  <si>
    <t>Alfredo Jaconi</t>
  </si>
  <si>
    <t>Gaúcho</t>
  </si>
  <si>
    <t>Em entrevista realizada pelo o portal UOL Esporte, o ex-árbitro e então comentarista esportivo Márcio Chagas, relatou que na partida entre Juventude e Internacional,
foi ofendido racialmente pelos torcedores da serra gaúcha.</t>
  </si>
  <si>
    <t>STJD intimou o comentarista, Márcio Chagas para esclarecer denúncias de injúria racial. Não foram encontradas informações sobre a conclusão do caso.</t>
  </si>
  <si>
    <t>175/2019</t>
  </si>
  <si>
    <t>Avenida x Internacional</t>
  </si>
  <si>
    <t>Após a partida entre Avenida e Internacional,
em que trabalhou comentando a arbitragem,
um internauta usou o Instagram para ofendê-
-lo racialmente.</t>
  </si>
  <si>
    <t>Márcio Chagas registrou boletim de ocorrência e representou contra o agressor, o processo corre na Justiça. Processo em andamento.</t>
  </si>
  <si>
    <t>176/2019</t>
  </si>
  <si>
    <t>Allan</t>
  </si>
  <si>
    <t>Piauí x Flamengo PI</t>
  </si>
  <si>
    <t>Lindolfo Monteiro</t>
  </si>
  <si>
    <t>Teresina</t>
  </si>
  <si>
    <t>Piauiense</t>
  </si>
  <si>
    <t>Allan, jogador do Piauí identificou e denunciou para a polícia que foi chamado de“macaco” por torcedor do Flamengo-PI.</t>
  </si>
  <si>
    <t>O Flamengo-PI foi julgado por caso de injúria racial após torcedor chamar zagueiro de macaco. MP investigou o caso de racismo contra jogador Allan na Copa Piauiense. O Flamengo-PI foi condenado a pagar R$ 1 mil por injúria racial contra jogador, e o torcedor foi banido de estádios por um ano.</t>
  </si>
  <si>
    <t>Em julgamento no TJD-PI, foi determinada multa de R$ 1 mil ao Flamengo-PI e proibição de torcedor frequentar estádios por 1 ano</t>
  </si>
  <si>
    <t>Esporte Clube Flamengo Paraibano e torcedor.</t>
  </si>
  <si>
    <t>177/2019</t>
  </si>
  <si>
    <t>Uesclei Regison dos Santos</t>
  </si>
  <si>
    <t>Nacional x Princesa</t>
  </si>
  <si>
    <t>Arena Amazônia</t>
  </si>
  <si>
    <t>Amazonense</t>
  </si>
  <si>
    <t>Assistente afirmou ter sofrido injúria racial durante jogo do Amazonense. O auxiliar identificou o agressor, supostamente vestido com a camisa do Grêmio, e solicitou que a partida fosse paralisada. Homens do Batalhão de Choque da Polícia Militar (PM) chegaram a conversar com o quarto árbitro, mas ninguém foi detido ou encaminhado para prestar depoimento. Segundo a Federação local, os policiais informaram que estavam atrás do bandeira e não ouviram qualquer insulto de natureza racista.</t>
  </si>
  <si>
    <t>assistente Uesclei Regison Pereira dos Santos registrou um B.O (Boletim de Ocorrência) para denunciar suposta injúria racial que sofreu na partida entre Nacional e Princesa. Não encontramos informações se Uesclei entrou com representação na Justiça contra o agressor. Na Justiça Desportiva o Nacional recebeu multa de R$ 2 mil por injúria racial de torcedor contra assistente, decisão
do TJD-AM. A Procuradoria propôs transação disciplinar, que foi aceita pelo clube, com pagamento de multa de R$ 2 mil, além da obrigação de medida de interesse social, com realizações de campanha contra atos de racismo durante os jogos em que participar, nas redes sociais, internet e demais mídias, iniciando já no jogo seguinte do clube, contra o Rio Negro.</t>
  </si>
  <si>
    <t>Na Justiça Desportiva o Nacional recebeu multa de R$ 2 mil por injúria racial de torcedor contra assistente, decisão do TJD-AM. A Procuradoria propôs transação disciplinar, que foi aceita pelo clube, com pagamento de multa de R$ 2 mil, além da obrigação de medida de interesse social, com realizações de campanha contra atos de racismo durante os jogos em que participar, nas redes sociais, internet e demais mídias</t>
  </si>
  <si>
    <t>Nacional Futebol Clube (AM)</t>
  </si>
  <si>
    <t>178/2019</t>
  </si>
  <si>
    <t>Marcelo Benevenuto</t>
  </si>
  <si>
    <t xml:space="preserve">Botafogo x Vasco </t>
  </si>
  <si>
    <t>Taça Rio</t>
  </si>
  <si>
    <t>Em entrevista ao “Canal do TF”, o zagueiro Marcelo Benevenuto, do Botafogo, acusou o atacante Maxi López (então atleta do Vasco da Gama) de tê-lo chamado de “preto de m*”. A acusação aconteceu um ano após o incidente.</t>
  </si>
  <si>
    <t>O argentino Maxi López, acusado de racismo, negou o fato e publicou fotos com
jogadores negros. O fato não teve sequência.</t>
  </si>
  <si>
    <t>Maxi Lopez</t>
  </si>
  <si>
    <t>179/2019</t>
  </si>
  <si>
    <t>Paulo Pazzine</t>
  </si>
  <si>
    <t>Muçum x Moranga Mecânica</t>
  </si>
  <si>
    <t>Campo do Operário</t>
  </si>
  <si>
    <t>Muçum</t>
  </si>
  <si>
    <t xml:space="preserve">Municipal de Muçum </t>
  </si>
  <si>
    <t>Súmula aponta caso de racismo em campeonato de futebol de Muçum. As ofensas de cunho discriminatório ocorreram após o juiz expulsar um dos jogadores que participavam
da partida entre Muçum e Moranga Mecânica.</t>
  </si>
  <si>
    <t>O acusado teria proferidouma série de xingamentos ao trio de arbitragem. Alguns destes, fazendo uso das expressões “macaco” e “nego ordinário. O fato foi registrado em súmula da partida e, em reunião realizada pela comissão de arbitragem, com base no artigo 243 – F da Confederação Brasileira de Justiça Desportiva (CBJD), decidiu-se por punir o jogador com R$ 2.910, seis jogos e noventa dias. O certame muçunense é organizado pela Administração Municipal, através da Secretaria de Ação Social, Cultura, Turismo e Desporto e o Conselho Municipal de Desporto (CMD). Sobre o B.O. não encontramos informações que foi
realizado.</t>
  </si>
  <si>
    <t>Comissão do campeonato</t>
  </si>
  <si>
    <t>180/2019</t>
  </si>
  <si>
    <t>Torcedores Inter</t>
  </si>
  <si>
    <t>Programa de YouTube</t>
  </si>
  <si>
    <t>Outros espaços</t>
  </si>
  <si>
    <t>Canal argentino no YouTube usa “blackface” para representar torcedor do Internacional.</t>
  </si>
  <si>
    <t>Muitos torcedores colorados acharam a “brincadeira” racista e preconceituosa. Como terminou: Não foram encontradas informações de qualquer providência ter sido tomada.</t>
  </si>
  <si>
    <t>181/2019</t>
  </si>
  <si>
    <t>Eduardo</t>
  </si>
  <si>
    <t>Criciúma x Chapecoense</t>
  </si>
  <si>
    <t>Heriberto Hülse</t>
  </si>
  <si>
    <t>Criciúma</t>
  </si>
  <si>
    <t>Eduardo, lateral da Chapecoense, foi chamado de macaco por torcedor do Criciúma. Jogador relatou caso de injúria. O atleta não registrou Boletim de Ocorrência (B.O.). O fato também não foi relatado em súmula pelo árbitro da partida Leandro Vuaden.</t>
  </si>
  <si>
    <t>Em nota oficial, a Chapecoense lamentou o acontecido e prometeu tomar medidas dizendo que não ficará inerte diante deste ocorrido e lutará para que todas as medidas cabíveis sejam tomadas. Em relação ao incidente na partida a Procuradoria solicitou esclarecimento aos envolvidos: atleta e clubes. Não foram encontradas informações sobre a conclusão do caso.</t>
  </si>
  <si>
    <t>182/2019</t>
  </si>
  <si>
    <t>Diego</t>
  </si>
  <si>
    <t>Potiguar x América RN</t>
  </si>
  <si>
    <t>Leonardo Nogueira</t>
  </si>
  <si>
    <t>Mossoró</t>
  </si>
  <si>
    <t>Potiguar</t>
  </si>
  <si>
    <t>Diego foi chamado de “macaco” por um torcedor que estava no estádio, na decisão da Copa Rio Grande do Norte, no Nogueirão em Mossoró.</t>
  </si>
  <si>
    <t>O lateral relatou ao repórter Orlando Neto o que aconteceu em Mossoró. O fato não contou em súmula. Não foram encontradas informações de desdobramentos do caso.</t>
  </si>
  <si>
    <t>183/2019</t>
  </si>
  <si>
    <t>Gustavo Bochecha</t>
  </si>
  <si>
    <t>Juventude x Botafogo</t>
  </si>
  <si>
    <t>Um torcedor do Juventude foi flagrado chamando Bochecha de “macaco” enquanto o jogador aquecia fora de campo. Após a denúncia, o torcedor foi identificado e retirado do
estádio pela polícia, que o levou ao Juizado Especial Criminal para responder pelo ato.</t>
  </si>
  <si>
    <t xml:space="preserve">O STJD denunciou o Juventude por episódio de racismo em partida contra o Botafogo.
Como terminou: Os Auditores da Terceira Comissão Disciplinar do STJD do Futebol puniram o Juventude pela injúria racial cometida por um torcedor contra o atleta Gustavo Bochecha, do Botafogo, pela Copa do Brasil. Por unanimidade dos votos, o clube foi multado em R$ 10 mil. </t>
  </si>
  <si>
    <t>O STJD puniu o Juventude pela injúria racial com multa de R$ 10 mil.</t>
  </si>
  <si>
    <t>Esporte Clube Juventude</t>
  </si>
  <si>
    <t>184/2019</t>
  </si>
  <si>
    <t>Lidiane Aparecida Cardoso</t>
  </si>
  <si>
    <t>Cruzeiro-RS x Inter-SM</t>
  </si>
  <si>
    <t>Arena do Cruzeiro</t>
  </si>
  <si>
    <t>Cachoeirinha</t>
  </si>
  <si>
    <t>Gaúcho Divisão de Acesso</t>
  </si>
  <si>
    <t>A paulista Lidiane Aparecida Cardoso estava na área reservada destinada aos torcedores do Inter-SM, ao lado das cabines de rádio, quando um torcedor do Estrelado (Cruzeiro/
RS) a chamou de macaca.</t>
  </si>
  <si>
    <t>A Brigada Militar chegou para ver o que estava acontecendo e Lidiane, que é irmã atacante Hadriel, preferiu não representar contra o agressor. A torcedora identificou o agressor, mas não quis registrar Boletim de Ocorrência. No final do jogo Lidiane recebeu o carinho de treinador Claiton e um pedido de desculpas do Cruzeiro feito pelo vice-presidente Gerson Finkler. Na beira do gramado, dirigentes conversavam lamentando o episódio e decidiram proibir o torcedor de entrar na Arena para acompanhar as partidas do Cruzeiro.</t>
  </si>
  <si>
    <t>185/2019</t>
  </si>
  <si>
    <t>Adilson Durante Filho</t>
  </si>
  <si>
    <t>WhatsApp</t>
  </si>
  <si>
    <t>O conselheiro do Santos FC, Adílson Durante Filho, teve um áudio vazado no qual comete ofensas racistas. Ele afirma em uma gravação que “brasileiros pardos e mulatos são uma raça que não tem caráter”. A gravação ocorreu em um grupo de uma torcida independente do clube, a ‘DNA Santista’.</t>
  </si>
  <si>
    <t>Adílson confirmou a autenticidade do áudio e pediu desculpas em comunicado enviado ao EL País. O Santos FC se manifestou através de Nota de Repúdio. A prefeitura de Santos o afastou de seu cargo na Secretaria de Turismo. A Defensoria Pública do
Estado processou o ex-conselheiro do Santos e pediu indenização de R$ 100 mil, revertidos a ações de combate ao racismo. Adílson renunciou ao cargo de conselheiro. Em outubro de 2019 o Santos FC expulsou o ex-conselheiro do quadro social do clube. A Justiça de São Paulo condenou o ex-conselheiro do Santos a pagar uma indenização
de R$ 10 mil por considerar racistas as declarações feitas em um áudio enviado em
um grupo privado de WhatsApp.</t>
  </si>
  <si>
    <t>186/2019</t>
  </si>
  <si>
    <t>Emerson Carioca</t>
  </si>
  <si>
    <t>Juventude x Remo</t>
  </si>
  <si>
    <t>Brasileiro C</t>
  </si>
  <si>
    <t>Jogadores do Remo alegaram terem ouvido injúrias de cunho racial e regional - por defenderem um clube do Norte do país
- de torcedores do Juventude durante a partida no Estádio Alfredo Jaconi, pela Série C do Brasileiro. Um dos principais alvos foi Emerson Carioca, que afirmou ter sido chamado de
“macaco” no momento em que foi substituído, aos 31 minutos do segundo tempo.</t>
  </si>
  <si>
    <t>Além das ofensas no momento do jogo, o torcedor do Remo foi vítima de comentários preconceituosos feitos em uma postagem no Facebook. Não foram encontradas
informações de procedimento aberto pela Justiça Desportiva (STJD) ou de abertura de inquérito policial.</t>
  </si>
  <si>
    <t>187/2019</t>
  </si>
  <si>
    <t>Douglas Coelho Gomes(Dodô)</t>
  </si>
  <si>
    <t>Operário x Nacional AM</t>
  </si>
  <si>
    <t>Gilbertão</t>
  </si>
  <si>
    <t>Manacapuru</t>
  </si>
  <si>
    <t>Copa Metropolitana Sub-19</t>
  </si>
  <si>
    <t>O Operário-AM emitiu uma nota de repúdio com sua profunda indignação em relação ao ataque racista sofrido pelo atleta Douglas Coelho Gomes (Dodô), alegando que o atleta de 17 anos teve que ouvir diversas palavras ofensivas vindo do atleta Robert, zagueiro da equipe do Nacional.</t>
  </si>
  <si>
    <t>O Nacional repudiou o episódio de racismo contra atleta do Operário e disse que tomaria “medidas cabíveis”. Não foram encontradas informações de abertura de processo, tanto na Justiça Desportiva como na Justiça Comum.</t>
  </si>
  <si>
    <t>Robert</t>
  </si>
  <si>
    <t>188/2019</t>
  </si>
  <si>
    <t>Yony González</t>
  </si>
  <si>
    <t>Grêmio x Fluminense</t>
  </si>
  <si>
    <t>Brasileiro A</t>
  </si>
  <si>
    <t>O lateral-direito Igor Julião, do Fluminense, compartilhou vídeo nas redes sociais em que o atacante Yony González é supostamente vítima de racismo por parte de torcedores do Grêmio.</t>
  </si>
  <si>
    <t>Grêmio foi condenado a pagar R$ 30 mil por injúria racial contra o jogador do Fluminense na Arena. A pena foi aplicada pelo STJD após vídeo divulgado pela FluTV, no dia seguinte à partida mostrar suposto grito de “macaco” direcionado a Yony González.
Após recurso no STJD, o Grêmio é absolvido do caso de injúria racial contra atleta do Fluminense. Com nova sentença, o Tricolor gaúcho ficou livre de ter de pagar multa de R$ 30 mil.</t>
  </si>
  <si>
    <r>
      <t xml:space="preserve">O STJD condenou o Grêmio a pagar multa de R$ 30 mil. </t>
    </r>
    <r>
      <rPr>
        <sz val="11"/>
        <color rgb="FF000000"/>
        <rFont val="Aptos Narrow"/>
        <family val="2"/>
      </rPr>
      <t>Após recurso o clube foi absolvido do caso de injúria racial contra atleta do Fluminense.</t>
    </r>
  </si>
  <si>
    <t>189/2019</t>
  </si>
  <si>
    <t>Torcedores do Flamengo</t>
  </si>
  <si>
    <t>Peñarol x Flamengo</t>
  </si>
  <si>
    <t>Campeon Del Siglo</t>
  </si>
  <si>
    <t>Cenas de manifestações racistas foram relatadas por torcedores do Flamengo no estádio Campeón del Siglo, alguns torcedores da equipe da do Peñarol fizeram gestos imitando macacos para os rubro-negros.</t>
  </si>
  <si>
    <t>Apesar da evidência do ato discriminatório, a CONMEBOL não se manifestou
sobre o caso. Não foram encontradas informações de julgamento e punição pela CONMEBOL.</t>
  </si>
  <si>
    <t>190/2019</t>
  </si>
  <si>
    <t>Deijair dos Santos Nunes</t>
  </si>
  <si>
    <t>Aparecidense x Juazeirense</t>
  </si>
  <si>
    <t>Annibal Batista Toledo</t>
  </si>
  <si>
    <t>Aparecida de Goiânia</t>
  </si>
  <si>
    <t>No fim do segundo tempo, o goleiro Deijair, da equipe baiana, foi alvo de ofensas racistas por torcedores da equipe goiana. Ele acabou expulso de campo por ter tentado agredir integrantes da torcida.</t>
  </si>
  <si>
    <t>O fato foi registrado na súmula da partida. O árbitro Silvio André Loureiro de Lima apontou que nenhum integrante da equipe de arbitragem presenciou os xingamentos.
Após a partida o atleta tentou registrar Boletim de Ocorrência (B.O.), mas sofreu com descaso na delegacia. O atleta posteriormente registrou B.O. e o processo corre na justiça. A Quinta Comissão Disciplinar do STJD do Futebol puniu por maioria dos
votos, a Aparecidense com multa de R$ 50 mil e perda de um mando de campo pela injúria racial cometida por torcedores contra o atleta Deijair.</t>
  </si>
  <si>
    <t xml:space="preserve">O STJD puniu por maioria dos votos, a Aparecidense com multa de R$ 50 mil e perda de um mando de campo. </t>
  </si>
  <si>
    <t>Associação Atlética Aparecidense (GO).</t>
  </si>
  <si>
    <t>191/2019</t>
  </si>
  <si>
    <t>Maycon Vinicius Ferreira da Cruz(Nikão)</t>
  </si>
  <si>
    <t>O atacante Nikão, do Athletico, usou seu perfil no Instagram para denunciar comentários racistas de torcedores do River
Plate. Expressões como “negro de mierda” e “macaco”, foram algumas das expressões usadas.</t>
  </si>
  <si>
    <t>O Athletico divulgou mensagem contra o racismo. Nikão cobrou: “Quando isso vai acabar?” e completo na sua publicação “Sou negro com muito orgulho”.
Sem informações de abertura de inquérito.</t>
  </si>
  <si>
    <t>192/2019</t>
  </si>
  <si>
    <t>Ronald Lopes Leandro</t>
  </si>
  <si>
    <t>Inhumas x MBS</t>
  </si>
  <si>
    <t>Zico Brandão</t>
  </si>
  <si>
    <t>Inhumas</t>
  </si>
  <si>
    <t>Goiano Sub-20</t>
  </si>
  <si>
    <t>O árbitro, Rafael Nogueira, relatou na súmula do jogo que Ronald, atleta do MBS, denunciou ter sido chamado de macaco pelo atleta do Inhumas, Guilherme Costa.</t>
  </si>
  <si>
    <t>Os atos de racismo praticados pelo atleta do Inhuma, como também por um diretor
da equipe, foram denunciados no TJD-GO – processo 152/2019. Consta que foi realizado
o registro de Boletim de Ocorrência. acusado Guilherme Fernandes Costa, do Inhumas Esporte Clube, foi suspenso por três partidas. O Clube foi multado em R$ 400,00 (quatrocentos reais).</t>
  </si>
  <si>
    <t>Guilherme Fernandes Costa</t>
  </si>
  <si>
    <t>O TJD-GO suspendeu Guilherme Fernandes Costa, do Inhumas Esporte Clube, por três partidas. O Clube foi multado em R$ 400,00 (quatrocentos reais).</t>
  </si>
  <si>
    <t>Guilherme Fernandes Costa, do Inhumas Esporte Clube e o clube.</t>
  </si>
  <si>
    <t>193/2019</t>
  </si>
  <si>
    <t>Auxilar técnico 12 Horas</t>
  </si>
  <si>
    <t>Gaúcho x 12 Horas</t>
  </si>
  <si>
    <t>Arthur Lawson</t>
  </si>
  <si>
    <t>Gaúcho 3ª Divisão</t>
  </si>
  <si>
    <t>Um torcedor do Sport Club Rio Grande foi preso por suspeita de cometer injúria racial no jogo contra o E.C 12 Horas, pela terceira divisão gaúcha, em Rio Grande, no sul do Rio Grande do Sul. Segundo a Polícia Civil, a ofensa foi dirigida a um auxiliar da comissão técnica do time visitante.</t>
  </si>
  <si>
    <t>Preso em flagrante pela Brigada Militar, o torcedor foi encaminhado para a Delegacia de Polícia de Pronto Atendimento e o delegado plantonista estabeleceu pagamento de fiança no valor de R$ 1,5 mil. Não foram encontradas informações de abertura de processo judicial contra o agressor. Na Justiça Desportiva não foram encontradas informação de julgamento do S. C. Rio Grande.</t>
  </si>
  <si>
    <t>194/2019</t>
  </si>
  <si>
    <t>Erick</t>
  </si>
  <si>
    <t>Gaúcho x Brasil FAR</t>
  </si>
  <si>
    <t>Wolmar Salton</t>
  </si>
  <si>
    <t>Passo Fundo</t>
  </si>
  <si>
    <t>Segundo o presidente do Gaúcho, Augusto Ricardo Ghion Júnior, o Guto, em entrevista para GaúchaZH, o zagueiro Erick,
de seu clube, teria sido chamado de macaco por um atleta do Brasil-Far.</t>
  </si>
  <si>
    <t>O Brasil-Far divulgou nota oficial onde alega que o zagueiro Darlan também foi vítima de injúria racial. No informativo do TJD-RS sobre os incidentes relacionados a
partida não encontramos qualquer citação ao episódio de racismo (ou artigo 243-G).
Não foram encontardas informações de julgamento ou punição pela Justiça Desportiva, também sem informações de registro de B.O. ou processo na Justiça Comum</t>
  </si>
  <si>
    <t>Gustavo Gomes Leal Cordova</t>
  </si>
  <si>
    <t>195/2019</t>
  </si>
  <si>
    <t>Vando Francisco dos Santos</t>
  </si>
  <si>
    <t>Galvez x Manaus</t>
  </si>
  <si>
    <t>Arena da Floresta</t>
  </si>
  <si>
    <t>O árbitro relatou em súmula que expulsou o atleta do Galvez, Marcelo Brás, com vermelho direto após ser informado pelo quarto árbitro que o atleta, que estava no banco de reservas, se dirigiu ao adversário dizendo: “Joga logo a p***a da bola seu queniano”.</t>
  </si>
  <si>
    <t>O caso foi levado a julgamento do STJD. Os Auditores da Quarta Comissão Disciplinar do STJD do Futebol puniram Marcelo Brás, atleta do Galvez. Por discriminação a um atleta adversário e por conduta contrária à disciplina, Brás foi punido com um total de seis jogos de suspensão.</t>
  </si>
  <si>
    <t>Marcelo Brás</t>
  </si>
  <si>
    <t>O STJD puniu Marcelo Brás, atleta do Galvez, com seis jogos de suspensão.</t>
  </si>
  <si>
    <t>Marcelo Brás, atleta do Galvez Esporte Clube (AC).</t>
  </si>
  <si>
    <t>196/2019</t>
  </si>
  <si>
    <t>César Fabris</t>
  </si>
  <si>
    <t>Durante apresentação do programa ‘Grenal Futebol Clube’, veiculado pela Rádio Grenal, o repórter esportivo César Fabris foi alvo de crime de racismo por meio de publicação de um perfil falso no Twitter da emissora.</t>
  </si>
  <si>
    <t>Conscientes do fato, terminado o programa os apresentadores decidiram seguir adiante com a denúncia. “A medida foi totalmente nossa, dos integrantes do programa.
Entramos em contato com um advogado e já estamos nos reunindo para fazer a
ocorrência e tudo que for preciso para darmos seguimento ao processo. Não vamos aliviar”, avisou Lucas arruda, colega de Fabris. Não foi registrado boletim de ocorrência do caso.</t>
  </si>
  <si>
    <t>197/2019</t>
  </si>
  <si>
    <t>Jogadoras Nigéria</t>
  </si>
  <si>
    <t>Rádio</t>
  </si>
  <si>
    <t>O plantonista Marcelo Araújo entrou no ar logo após o anúncio do gol da seleção canadense pela Copa do Mundo de Futebol Feminino, em cima das neozelandesas. Ancorando
a transmissão, o narrador Iran Carvalho diz que alguém da cabine teria interesse em ser massagista (dos times em campo); ao que Araújo responde dizendo que há vaga, mas para a seleção da Nigéria. O locutor pergunta se um colega aceitaria a vaga e, entre risos, a voz de um homem ainda não identificado pela reportagem, diz: “Pois é. Falou ‘Canadá’, ‘Nova Zelândia’, todo mundo quis, né?”.</t>
  </si>
  <si>
    <t>Os ouvintes consideraram os comentários dos três radialistas esportivos machistas e racistas. A Rádio Jornal se pronunciou por meio de Nota oficial. Não foram encontras informações sobre punição aos envolvidos pela Rádio.</t>
  </si>
  <si>
    <t>198/2019</t>
  </si>
  <si>
    <t>Igrejinha x União Harmonia</t>
  </si>
  <si>
    <t>Estádio Local da cidade</t>
  </si>
  <si>
    <t>Igrejinha</t>
  </si>
  <si>
    <t>Gaúcho Sub-15</t>
  </si>
  <si>
    <t>Ato de injúria racial ocorrido durante e após o término do jogo. Durante a segunda etapa, o atleta do Igrejinha que vestia a camisa 13 ofendeu o atacante Samuel o chamando de “macaco”. Samuel relatou ao árbitro o que ocorreu e este não tomou nenhuma providência durante o jogo. No final da partida, o atleta do Igrejinha chamou novamente o atleta de
“macaco”, neste momento o assistente presenciou a cena e relatou ao árbitro que imediatamente expulsou o jogador do Igrejinha, mesmo depois de encerrada a partida</t>
  </si>
  <si>
    <t>Denunciado(s): Leonardo Ribeiro Felix, atleta do EC Igrejinha, CBF nº 658549, incurso na sanção do artigo 243-G do CBJD, julgamento marcado para o dia 23 de julho de 2019 no TJD-RS.  Por maioria dos votos, condenaram o atleta Leonardo Ribeiro Felix, à suspensão de uma partida oficial, por infração ao artigo 243-G do CBJD, pelo TJD-RS.</t>
  </si>
  <si>
    <t>Leonardo Ribeiro Felix</t>
  </si>
  <si>
    <r>
      <t xml:space="preserve">O TJD-RS condenou o atleta </t>
    </r>
    <r>
      <rPr>
        <sz val="11"/>
        <color rgb="FF000000"/>
        <rFont val="Aptos Narrow"/>
        <family val="2"/>
      </rPr>
      <t>Leonardo Ribeiro Felix, do EC Igrejinha, a uma partida de suspensão.</t>
    </r>
  </si>
  <si>
    <t>Leonardo Ribeiro Felix, atleta do Esporte Clube Igrejinha</t>
  </si>
  <si>
    <t>199/2019</t>
  </si>
  <si>
    <t>Casimiro Abreu x Araruama</t>
  </si>
  <si>
    <t>Ubirajara de Almeida Reis</t>
  </si>
  <si>
    <t>Casimiro de Abreu</t>
  </si>
  <si>
    <t>Carioca 2ª divisão</t>
  </si>
  <si>
    <t>O goleiro Everaldo preparava-se para bater um tiro de meta, já nos minutos finais, quando ouviu de um torcedor a ofensa racista. Imediatamente, ele chamou o árbitro Matheus Carneiro Torres, explicando o que tinha acontecido, mas que o caso não foi sequer relatado em súmula.</t>
  </si>
  <si>
    <t xml:space="preserve">Casimiro de Abreu emitiu nota onde relatou que não identificou a injuria racial alegada pelo atleta do Araruama. Mesmo após o jogo, Everaldo chegou a procurar a diretoria do próprio clube para tentar levar o caso à frente, mas a identificação do agressor não pôde ser feita, o que impossibilitou uma denúncia formal na delegacia. O Casimiro de Abreu enviou um pedido formal de desculpas através do vice-presidente, Doutor Cacá.
Não foram encontradas informações de julgamento ou de qualquer punição pela Justiça Desportiva. O atleta não levou o caso adiante. </t>
  </si>
  <si>
    <t>200/2019</t>
  </si>
  <si>
    <t>Elizeu</t>
  </si>
  <si>
    <t>Jaciobá x Penedense</t>
  </si>
  <si>
    <t>Elisio Maia</t>
  </si>
  <si>
    <t>Pão de Açucar</t>
  </si>
  <si>
    <t>Alagoana Sub-20</t>
  </si>
  <si>
    <t>Um torcedor do Jaciobá chamou o jogador do Penedense de macaco. “Bota a faixa no braço, macaco” essas foram palavras proferidas pelo torcedor contra o capitão do time do
Penedense, Elizeu</t>
  </si>
  <si>
    <t>A Federação Alagoana denunciou o caso de racismo no campeonato estadual sub-20, através de Nota de Repúdio, os clubes também se pronunciaram por Nota. Não foram encontradas informações de julgamento por parte da Justiça
Desportiva e sobre registro de B.O. e andamento de processo criminal.</t>
  </si>
  <si>
    <t>201/2019</t>
  </si>
  <si>
    <t>Torcedor Brasileiro</t>
  </si>
  <si>
    <t>Brasil x Argentina</t>
  </si>
  <si>
    <t>Mineirão</t>
  </si>
  <si>
    <t>Copa América</t>
  </si>
  <si>
    <t>O torcedor brasileiro, Anderson Batista, afirmou em sua rede social que viu apenas os primeiros minutos da vitória da seleção brasileira, pois enquanto comemorava o gol de Gabriel Jesus percebeu que um argentino imitava um macaco em sua direção.</t>
  </si>
  <si>
    <t>O torcedor argentino identificado como Fabrizio, foi preso por injúria racial. Não foram encontradas informações sobre o andamento do caso.</t>
  </si>
  <si>
    <t>Fabrizio</t>
  </si>
  <si>
    <t>202/2019</t>
  </si>
  <si>
    <t>Odair Lucas</t>
  </si>
  <si>
    <t>Botafogo-PB x Sampaio Corrêa</t>
  </si>
  <si>
    <t>José Américo de Almeida Filho</t>
  </si>
  <si>
    <t>O zagueiro Odair Lucas relatou ter sido xingado de “macaco”, por um torcedor do Botafogo-PB, na vitória do time maranhense, na Paraíba.</t>
  </si>
  <si>
    <t>O incidente não foi registrado na súmula da partida. Os dois clubes emitiram Notas a respeito do incidente. Não foram encontradas informações de julgamento por parte da Justiça Desportiva ou de abertura de inquérito na Justiça Comum.</t>
  </si>
  <si>
    <t>203/2019</t>
  </si>
  <si>
    <t>Carlos Alberto</t>
  </si>
  <si>
    <t>Brasil x Peru</t>
  </si>
  <si>
    <t>Na final da Copa América, o ex-jogador Carlos Alberto, com passagens por Vasco, Grêmio e Fluminense, acusou um torcedor brasileiro de ter o chamado de ‘macaco marginal’
na fila do bar do estádio.</t>
  </si>
  <si>
    <t>O ex-jogador prestou queixa por injúria racial contra o torcedor, não identificado,
no Maracanã. O torcedor foi levado por seguranças para o Juizado Especial Criminal
(Jecrim). Não foram encontradas informações sobre o andamento do caso.</t>
  </si>
  <si>
    <t>204/2019</t>
  </si>
  <si>
    <t>Marcão</t>
  </si>
  <si>
    <t>Ypiranga x Remo</t>
  </si>
  <si>
    <t>Colosso da Lagoa</t>
  </si>
  <si>
    <t>Erechim</t>
  </si>
  <si>
    <t>De acordo com o dirigente do Clube do Remo, Dirson Medeiros, o jogador Marcão e um membro da comissão técnica alegaram ter sofrido injúria racial por parte dos torcedores do Canarinho.</t>
  </si>
  <si>
    <t>O preparador físico do Remo, André Ferreira, usou as suas redes sociais para repudiar o ao e disse que o torcedor que proferiu os insultos racistas estava ao lado de três policiais e ninguém fez nada, todos fingiram não ouvir. Não foram encontradas
informações de julgamento pela Justiça Desportiva ou de registro de B.O.</t>
  </si>
  <si>
    <t>205/2019</t>
  </si>
  <si>
    <t>Rodrigo Antunes</t>
  </si>
  <si>
    <t>Itararé x XV de Jaú</t>
  </si>
  <si>
    <t>Vergínio Holtz</t>
  </si>
  <si>
    <t>Itabaré</t>
  </si>
  <si>
    <t>Paulista Sub-23/2ª Divisão</t>
  </si>
  <si>
    <t>Staff do Jogo</t>
  </si>
  <si>
    <t>O goleiro do XV de Jaú, Rodrigo Antunes, relatou que foi chamado de “macaco” pelo gandula em duelo contra o Itararé.</t>
  </si>
  <si>
    <t>Um boletim de ocorrência por injúria racial foi registrado na delegacia após o término da partida válida pela Segundona. O gandula foi conduzido até a delegacia de polícia, mas o delegado da cidade não caracterizou o crime, liberando o acusado. Não foram encontradas informações de julgamento pela Justiça Desportiva. O registro de B.O. não foi aceito pelo delegado.</t>
  </si>
  <si>
    <t>206/2019</t>
  </si>
  <si>
    <t>Pablo Dyego</t>
  </si>
  <si>
    <t>Peñarol x Fluminense</t>
  </si>
  <si>
    <t xml:space="preserve">O atacante Pablo Dyego, do Fluminense, declarou ter sofrido racismo na passagem do Fluminense pelo Uruguai para enfrentar o Peñarol.  Em uma coletiva o zagueiro Digão deu mais detalhes do episódio: “Chamaram o Pablo de macaco lá no treino após o jogo, ele entrou muito triste no vestiário”.  </t>
  </si>
  <si>
    <t>Não foram encontradas informações de julgamento e/ou punição pela CONMEBOL.</t>
  </si>
  <si>
    <t>207/2019</t>
  </si>
  <si>
    <t>Atletas Sub-20 do Flamengo</t>
  </si>
  <si>
    <t>Brasileiro Sub-20</t>
  </si>
  <si>
    <t>Insultos racistas foram proferidos por uma torcedora do Botafogo a atletas do Flamengo. Em um vídeo é possível ouvir a expressão ‘macaco do c...’, ‘vão morrer queimados’ e xingamentos como, ‘filha da p...’.</t>
  </si>
  <si>
    <t>O Botafogo repudiou a ofensa racial a atletas do Flamengo após o clássico do Brasileiro Sub-20. Não foram encontradas informações de julgamento pela Justiça Desportiva e não foram encontradas informações de registro de ocorrência.</t>
  </si>
  <si>
    <t>208/2019</t>
  </si>
  <si>
    <t>Torcedores do Inter</t>
  </si>
  <si>
    <t>Internacional x Nacional</t>
  </si>
  <si>
    <t>Torcedores colorados filmaram atos racistas feitos por torcedores uruguaios. Pelo menos dois torcedores do Nacional-URU foram filmados imitando um macaco. O jornalista Carlos Lacerda, divulgou em suas redes sociais um vídeo com um torcedor uruguaio imitando um macaco para os brasileiros.</t>
  </si>
  <si>
    <t>O caso teve repercussão nas redes sociais e debatido entre os torcedores.
 Não foram encontradas informações de julgamento e/ou punição pela
CONMEBOL.</t>
  </si>
  <si>
    <t>209/2019</t>
  </si>
  <si>
    <t>Montevideo Wanderers x Corinthians</t>
  </si>
  <si>
    <t>O zagueiro Gil disse que foi alvo de racismo por parte dos jogadores do time uruguaio. O atleta fez o relato a jornalistas na saída do estádio Gran Parque Central, embora não tivesse parado para conceder entrevistas.</t>
  </si>
  <si>
    <t>O jogador se disse tranquilo em relação ao fato e decidiu não ampliar o assunto.
Não foram encontradas informações de julgamento e/ou punição pela CONMEBOL.</t>
  </si>
  <si>
    <t>210/2019</t>
  </si>
  <si>
    <t>Atletas do Volta Redonda</t>
  </si>
  <si>
    <t>Ypiranga x Volta Redonda</t>
  </si>
  <si>
    <t>Jogadores do Volta Redonda relataram que um torcedor da equipe gaúcha proferiu ofensas racistas chamando os atletas que estavam no banco de reservas de “bando de macacos”
em jogo contra o Ypiranga-RS pela Série C.</t>
  </si>
  <si>
    <t>Caso de injúria racial foi relatado na súmula pelo árbitro da partida, disputada em Erechim-RS. Não foram encontradas informações de julgamento pela Justiça Desportiva
(STJD), nem informações de registro de ocorrência.</t>
  </si>
  <si>
    <t>211/2019</t>
  </si>
  <si>
    <t>Mano</t>
  </si>
  <si>
    <t>Programa de TV</t>
  </si>
  <si>
    <t>Durante o programa “Bom Dia Fox”, da Fox Sport, enquanto especulava-se uma possível vinda do italiano para o Brasil, o comentarista Mano disse que “Para trazer o Balotelli, teria que castrá-lo”.</t>
  </si>
  <si>
    <t>O comentário repercutiu negativamente nas redes sociais e muitos telespectadores acharam a frase de cunho racista e preconceituosa. Não foram encontradas informações sobre possível punição por parte da emissora ou mesmo retratação do
comentarista.</t>
  </si>
  <si>
    <t>212/2019</t>
  </si>
  <si>
    <t>Matheus Borges Serpa</t>
  </si>
  <si>
    <t>Panambi x Uruguaiana</t>
  </si>
  <si>
    <t>João Marimon Jr</t>
  </si>
  <si>
    <t>Gaúcho Juvenil</t>
  </si>
  <si>
    <t>O massagista da equipe de Uruguaiana denunciou ao árbitro que o atleta do clube Matheus foi insultado racialmente com as palavras “negro safado, negrinho” por torcedores.</t>
  </si>
  <si>
    <t>O árbitro colocou o fato em súmula. Não foram encontradas informações sobre o julgamento do caso e/ou de registro de ocorrência.</t>
  </si>
  <si>
    <t>213/2019</t>
  </si>
  <si>
    <t>Barbara Paçoca</t>
  </si>
  <si>
    <t>Espaço público</t>
  </si>
  <si>
    <t>A jogadora Bárbara Paçoca foi vítima de racismo em abordagem policial na Savassi, região Centro-Sul de Belo Horizonte ao ser confundida com suspeitos perseguidos pela
polícia.</t>
  </si>
  <si>
    <t>Em postagem nas redes sociais, a jogadora relatou o caso em que foi ‘confundida’ com suspeitos de uma ocorrência. Não encontramos informações sobre registro de boletim de ocorrência e abertura de inquérito judicial.</t>
  </si>
  <si>
    <t>214/2019</t>
  </si>
  <si>
    <t>André Henning</t>
  </si>
  <si>
    <t>O narrador André Henning, foi acusado de racismo após escrever em um post no seu perfil de que o italiano Mario Balotelli “ia aparecer mais nas páginas policiais que nas
esportivas”, caso fosse contratado para jogar no Brasil.</t>
  </si>
  <si>
    <t>Após a acusação de racismo entre os seguidores, André Henning explicou
o que quis dizer e mudou algumas palavras de sua primeira frase. Mas manteve o contexto. Não encontramos informações de qualquer providencia ter sido tomada
por parte da emissora.</t>
  </si>
  <si>
    <t>215/2019</t>
  </si>
  <si>
    <t>Cazares</t>
  </si>
  <si>
    <t>Radio</t>
  </si>
  <si>
    <t>Emanuel Carneiro, radialista e diretor-presidente da Rádio Itatiaia, afirmou que o Atlético-MG teria de colocar uma tornozeleira eletrônica no meia equatoriano Cazares para
controlar o comportamento do jogador em jogos fora de Belo Horizonte.</t>
  </si>
  <si>
    <t>Emanuel Carneiro foi acusado,  nas Redes Sociais, de racismo ao associar o jogador a um mecanismo utilizado pelo judiciário para monitorar presos. Não encontramos informações sobre registro de ocorrência.</t>
  </si>
  <si>
    <t>Emanuel Carneiro</t>
  </si>
  <si>
    <t>216/2019</t>
  </si>
  <si>
    <t>Carlos Miguel</t>
  </si>
  <si>
    <t>Internacional x Novo Hamburgo</t>
  </si>
  <si>
    <t>Morada dos Quero-Queros</t>
  </si>
  <si>
    <t>Alvorada</t>
  </si>
  <si>
    <t>Copa FGF</t>
  </si>
  <si>
    <t>Goleiro do time B do Internacional foi alvo de injúria racial em jogo contra o Novo Hamburgo. Carlos Miguel foi vítima de ofensas em jogo pela Copa FGF.</t>
  </si>
  <si>
    <t>O caso foi relatado em súmula. Novo Hamburgo foi absolvido das acusações de racismo da torcida contra goleiro do Inter B, com votos de dois dos três auditores do Tribunal de Justiça Desportiva (TJD-RS).</t>
  </si>
  <si>
    <t>O TJD-RS absolveu o Novo Hamburgo da acusação de racismo.</t>
  </si>
  <si>
    <t>217/2019</t>
  </si>
  <si>
    <t>Atleta Catanduva</t>
  </si>
  <si>
    <t>Francana x Catanduva</t>
  </si>
  <si>
    <t>Municipal Dr. José Lancha Filho</t>
  </si>
  <si>
    <t>Franca</t>
  </si>
  <si>
    <t>Paulista 2ª Divisão</t>
  </si>
  <si>
    <t>O Catanduva através de Nota relatou que um de seus atletas foi vítima de racismo ao final da partida, “fato presenciado por vários atletas e funcionários do CFC”.</t>
  </si>
  <si>
    <t>O caso foi divulgado através das redes sociais do clube. Não foram encontradas informações sobre o julgamento do caso e de registro de ocorrência.</t>
  </si>
  <si>
    <t>218/2019</t>
  </si>
  <si>
    <t>Calors Eduardo</t>
  </si>
  <si>
    <t>Bragantino x Brasil PEL</t>
  </si>
  <si>
    <t>Nabi Abi Cheid</t>
  </si>
  <si>
    <t>Brasileiro B</t>
  </si>
  <si>
    <t>O goleiro Carlos Eduardo, do Brasil de Pelotas, relatou ter sido vítima de ofensas de cunho racista. Segundo o jogador, os xingamentos partiram de torcedores da equipe paulista nas arquibancadas do estádio Nabi Abi Chedid (Nabizão).</t>
  </si>
  <si>
    <t>O árbitro da partida relatou o episódio em súmula. O Pleno do Superior Tribunal
de Justiça Desportiva do Futebol (STJD) reformou a decisão de primeira instância que
absolveu o Bragantino de denúncia por injúria racial. Em recurso julgado, dia 7 de novembro, por maioria dos votos, o clube foi multado em R$ 2 mil que foi destinado a campanhas contra o racismo no futebol brasileiro.</t>
  </si>
  <si>
    <t>O Pleno do STJD reformou a decisão de primeira instância que absolveu o Bragantino de denúncia por injúria racial. Em recurso o clube foi multado em R$ 2 mil que será destinado a campanhas contra o racismo no futebol brasileiro.</t>
  </si>
  <si>
    <t>Clube Atlético Bragantino</t>
  </si>
  <si>
    <t>219/2019</t>
  </si>
  <si>
    <t>Athletico PR x Grêmio</t>
  </si>
  <si>
    <t>Um vídeo foi divulgado nas redes sociais com um possível caso de racismo envolvendo o jogador gremista Matheus Henrique. Uma torcedora teria ofendido o atleta durante o jogo entre Athletico-PR e Grêmio, válido pelas semifinais da Copa do Brasil.</t>
  </si>
  <si>
    <t>O STJD informou que analisou o material e não procederá denúncia. De acordo com o comunicado, foi verificado que a mulher presente nas imagens fala palavrões e não há comprovação de qualquer ofensa racista neste ou em outros vídeos.</t>
  </si>
  <si>
    <t>220/2019</t>
  </si>
  <si>
    <t>Ronaldo</t>
  </si>
  <si>
    <t>Centro Limoeirense x 1º de Maio</t>
  </si>
  <si>
    <t>Municipal José Vareda</t>
  </si>
  <si>
    <t>Limoeiro</t>
  </si>
  <si>
    <t>Pernambucano 2ª Divisão</t>
  </si>
  <si>
    <t>O presidente do Primeiro de Maio, Josué Nascimento, denunciou um suposto ato de racismo por parte da torcida contra o lateral Ronaldo. “Racismo está reinando aqui. Chamaram nosso lateral de ‘macaco’. Pedi para o delegado verificar aqui. O que está acontecendo isso não existe”, falou.</t>
  </si>
  <si>
    <t>Não foram encontradas informações sobre o julgamento do caso e/ou de registro de ocorrência.</t>
  </si>
  <si>
    <t>221/2019</t>
  </si>
  <si>
    <t>João Guilhermo</t>
  </si>
  <si>
    <t>Internacional x Athletico PR</t>
  </si>
  <si>
    <t>O narrador João Guilherme, do Fox Sports, recebeu uma ofensa racial após criticar a atuação do atacante Paolo Guerrero no jogo entre Internacional x Athletico-PR pela final
da Copa do Brasil em uma rede social. Um usuário respondeu ao post: “Se eu te achar na rua te mato, seu gordo negro fi lho da p*”.</t>
  </si>
  <si>
    <t>João compartilhou a ofensa, porém, a conta que o atacou foi retirada do ar. Em respostao narrador comentou: “Que ser humano desprezível e se esconde na internet”.
Não foram encontradas informações de que o caso não teve sequência.</t>
  </si>
  <si>
    <t>222/2019</t>
  </si>
  <si>
    <t>Torcedores Atlético Mineiro</t>
  </si>
  <si>
    <t>Colón x Atlético MG</t>
  </si>
  <si>
    <t>Brigadier General Estanislao Lopez</t>
  </si>
  <si>
    <t>Santa Fé</t>
  </si>
  <si>
    <t>Um torcedor atleticano presente no estádio Cemitério dos Elefantes, em Santa Fé-ARG, registrou o momento em que um torcedor argentino fez gestos racistas em direção aos brasileiros presentes na partida entre Colón e Atlético.</t>
  </si>
  <si>
    <t>O vídeo circulou pelas redes sociais e programas de TV no Brasil. Apesar das
provas, não foram encontradas informações sobre algum pronunciamento da CONMEBOL. Não foram encontradas informações de julgamento e punição pela
CONMEBOL.</t>
  </si>
  <si>
    <t>223/2019</t>
  </si>
  <si>
    <t>Edimar da Silva Leite</t>
  </si>
  <si>
    <t>Comercial x Cori-Sabbá</t>
  </si>
  <si>
    <t>Deusdeth de Melo</t>
  </si>
  <si>
    <t>Campo Maior</t>
  </si>
  <si>
    <t>Piauiense 2ª Divisão</t>
  </si>
  <si>
    <t>O câmera da TV Clube flagrou o exato momento em que o árbitro Edimar da Silva Leite é hostilizado por um torcedor: “Picolé de asfalto. Quem quer ouvir conversa de preto?”.</t>
  </si>
  <si>
    <t>O árbitro faz boletim de ocorrência após ser xingado de “picolé de asfalto”
por funcionário de clube. A FFP encaminhou o boletim de ocorrência ao TJD-PI e ao
Ministério Público. Clube demitiu Nonato Costa do cargo de segundo secretário, após ser identificado como autor das ofensas. Não foram encontradas informações de julgamento do caso pelo TJD-PI.</t>
  </si>
  <si>
    <t>Nonato Costa</t>
  </si>
  <si>
    <t>224/2019</t>
  </si>
  <si>
    <t>Torcedor Fortaleza</t>
  </si>
  <si>
    <t>Fortaleza x Palmeiras</t>
  </si>
  <si>
    <t>Arena Castelão</t>
  </si>
  <si>
    <t>Segundo um torcedor do Fortaleza, que não quis se identificar, o atacante Deyverson, do Palmeiras, teria virado para a arquibancada e imitado um macaco enquanto aquecia
com outros jogadores do elenco do Verdão.</t>
  </si>
  <si>
    <t>O jogador Deyverson usou suas redes sociais para se defender desta acusação.
Ele escreveu que nunca humilharia uma pessoa desta forma e que vem “de uma família
humilde e negra e de pessoas com caráter”. Além disso, ele disse condenar qualquer tipo de discriminação. Não foram encontradas informações de sequência do caso.</t>
  </si>
  <si>
    <t>Deyverson</t>
  </si>
  <si>
    <t>225/2019</t>
  </si>
  <si>
    <t>Fabinho</t>
  </si>
  <si>
    <t>Santos x Ceará</t>
  </si>
  <si>
    <t>Vila Belmiro</t>
  </si>
  <si>
    <t>Santos</t>
  </si>
  <si>
    <t>Após o final da partida entre Ceará e Santos, Thiago Galhardo relatou insultos racistas reproduzidos por torcedores do time paulista presentes na Vila Belmiro, em direção ao volante Fabinho: “Negão e vagabundo”.</t>
  </si>
  <si>
    <t>Os dois clubes se posicionaram sobre o incidente. O árbitro ignorou a acusação de racismo, mas STJD investigou o caso. O Superior Tribunal de Justiça Desportiva
(STJD) instaurou um inquérito baseado as declarações dos jogadores do Vovô,
que podem até ser chamados para depor na investigação.Não foram encontradas informações sobre o julgamento do caso pela Justiça Desportiva (STJD).</t>
  </si>
  <si>
    <t>226/2019</t>
  </si>
  <si>
    <t>Paola Rodrigues</t>
  </si>
  <si>
    <t>Vasco da Gama x Fluminense</t>
  </si>
  <si>
    <t>Nivaldo Pereira</t>
  </si>
  <si>
    <t>Nova Iguaçu</t>
  </si>
  <si>
    <t>Carioca Feminino</t>
  </si>
  <si>
    <t>Árbitra assistente, Paola Rodrigues foi chamada de “macaca” por torcedora cruz-maltina.</t>
  </si>
  <si>
    <t>O caso foi registrado na súmula do jogo pelo árbitro Alexandre Cardoso Rodrigues Junior. Para interromper os xingamentos à bandeirinha, a organização da partida e a equipe de segurança do Vasco tiveram que tirar os torcedores da arquibancada próxima à assistente. A Quinta Comissão Disciplinar, multou o Vasco em R$ 20 mil e aplicou também a perda de três pontos. A relatora Renata Mansur concedeu efeito suspensivo e o Pleno julgou procedente o recurso da defesa e diminuiu a pena pecuniária para R$ 1 mil.</t>
  </si>
  <si>
    <t>A Quinta Comissão Disciplinar, do TJD-RJ, multou o Vasco em R$ 20 mil e aplicou também a perda de três pontos. O Pleno julgou procedente o recurso da defesa e diminuiu a pena pecuniária para R$ 1 mil.</t>
  </si>
  <si>
    <t>Clube de Regatas Vasco da Gama</t>
  </si>
  <si>
    <t>227/2019</t>
  </si>
  <si>
    <t>Rafael Martins</t>
  </si>
  <si>
    <t>Barreiros x Sport</t>
  </si>
  <si>
    <t>Municipal Luiz Brito Bezerra de Melo</t>
  </si>
  <si>
    <t>Mata Sul</t>
  </si>
  <si>
    <t>Pernambucano Sub-20</t>
  </si>
  <si>
    <t>O jogador Rafael Martins, do time sub 20 do Sport Recife, usou a rede social para denunciar ter sido vítima de racismo durante uma partida de futebol contra o Barreiros, pelo Pernambucano Sub-20.</t>
  </si>
  <si>
    <t>Após injúrias raciais contra o atleta da base, o Sport se manifestou sobre o assunto em seu Twitter oficial e reforçou o combate ao racismo. Não foram encontradas informações sobre o andamento do caso, se ocorreu investigação, tão pouco algum tipo de condenação.</t>
  </si>
  <si>
    <t>228/2019</t>
  </si>
  <si>
    <t>Fabio Coutinho</t>
  </si>
  <si>
    <t>Cruzeiro x Atlético MG</t>
  </si>
  <si>
    <t>Um torcedor do Atlético-MG agrediu o segurança do Mineirão, Fabio Coutinho, com insultos racistas e cusparada no rosto.</t>
  </si>
  <si>
    <t>Os torcedores envolvidos na confusão foram identificados e ouvidos pelo departamento de Operações Especiais (Deoesp) da polícia mineira. Atlético foi denunciado no STJD. Em julgamento, a Terceira Comissão Disciplinar do STJD do Futebol julgou e decidiu aplicar multa de R$ 30 mil ao Atlético/MG pela injúria racial sofrida pelo segurança. Pleno do STJD do Futebol julgou o recurso de Cruzeiro e Atlético/MG pelas confusões ocorridas no clássico na Série A do Campeonato Brasileiro 2019. Por maioria dos
votos, os Auditores deram parcial provimento aos recursos e votaram por reduzir a multa do Atlético/MG pela injúria racial de R$ 30 mil para R$ 15 mil.</t>
  </si>
  <si>
    <t>A Terceira Comissão Disciplinar do STJD aplicou multa de R$ 30 mil ao Atlético/MG. Pleno do STJD do Futebol julgou o recurso reduziram a multa para R$ 15 mil.</t>
  </si>
  <si>
    <t>Clube Atlético Mineiro</t>
  </si>
  <si>
    <t>229/2019</t>
  </si>
  <si>
    <t>Funcionaria Santos</t>
  </si>
  <si>
    <t xml:space="preserve">O Ministério Público denunciou um conselheiro do Santos por injúria racial contra uma funcionária do clube. Segundo o documento, Márcio Antônio dos Santos Rosas fez comentários em um áudio distribuído pelo aplicativo WhatsApp. Na mensagem, Rosas usa palavreado chulo e o termo “neguinha” para se referir à mulher. </t>
  </si>
  <si>
    <t>A promotora Maria Pia Woezl Prandini pontuou na denúncia que Rosas injuriou a funcionária “ofendendo-lhe a dignidade ou o decoro, utilizando-se de entonação
e palavras depreciativas referentes à sua raça e ao gênero feminino”. Em depoimento
à polícia, o conselheiro confirmou o teor da mensagem, mas afirmou que não se
referia à mulher que prestou queixa. A funcionária, por outro lado, disse ter certeza que era o alvo do comentário por conta de detalhes citados no áudio que eram relacionados a ela. Rosas foi denunciado por injúria racial, crime com pena prevista de prisão de um a três anos.  Não foram encontradas informações sobre o andamento da denúnciado Ministério Público.</t>
  </si>
  <si>
    <t>230/2019</t>
  </si>
  <si>
    <t>Eduardo Bauermann</t>
  </si>
  <si>
    <t>Atlético GO x Paraná</t>
  </si>
  <si>
    <t>Antônio Accioly</t>
  </si>
  <si>
    <t xml:space="preserve">Torcedor do Atlético-GO foi preso suspeito de injúria racial contra o jogador do Paraná durante partida em Goiânia. Segundo a polícia, após time goiano perder um pênalti, torcedor xingou e fez gestos imitando um macaco, direcionados ao zagueiro Eduardo Bauermann, que estava na reserva. </t>
  </si>
  <si>
    <t>O caso foi relatado na súmula do jogo. Após o fim da partida, Eduardo Bauermann, procurou a Polícia Militar para registro do boletim de ocorrência. Com a ajuda de testemunhas que também presenciaram o fato, a corporação localizou e prendeu
o torcedor. Ele foi autuado pelo crime de injúria racial, previsto no Artigo 140 do Código
Penal. O torcedor era membro da TDA (Torcida Dragões Atleticanos), principal organizada do Atlético-GO. A TDA expulsou o torcedor do Atlético-GO preso por racismo. Não foram encontradas informações sobre o julgamento do caso pela
Justiça Desportiva (STJD) e/ou do andamento do processo contra o torcedor.</t>
  </si>
  <si>
    <t>231/2019</t>
  </si>
  <si>
    <t>Marcos Cândido</t>
  </si>
  <si>
    <t>Guia Lopes da Laguna x Saraiva</t>
  </si>
  <si>
    <t>Campo Grande</t>
  </si>
  <si>
    <t>Liga Terrão MS</t>
  </si>
  <si>
    <t>O atleta de futebol amador Marcos Cândido, de 26 anos, afirmou ter sido vítima de racismo.</t>
  </si>
  <si>
    <t>Na súmula da partida o árbitro confirmou que houve o crime e relatou toda a briga que
ocorreu após o xingamento. De acordo com o texto, a vítima de racismo teria dado
um pontapé no jogador de Guia Lopes que supostamente o ofendeu, que em seguida
caiu no chão e recebeu novamente um chute na região da cabeça de outro jogador
do Saraiva. Marcos Cândido falou ao término da partida de que faria o registro de um
Boletim de Ocorrência (BO) no dia seguinte. Segundo a organização da competição, através do seu representante Julio Cesar Souza da Silva, “não houve caso de racismo na partida e os atletas do time do Saraiva estão fazendo tal afirmação para tentar escapar de punição.”. O mesmo ainda informou que fariam um BO contra as pessoas que estavam fazendo essa falsa acusação por calúnia e difamação. Não foram encontradas mais informações sobre o desenrolar do caso.</t>
  </si>
  <si>
    <t>Comissão da competição</t>
  </si>
  <si>
    <t>232/2019</t>
  </si>
  <si>
    <t>Hugo Souza</t>
  </si>
  <si>
    <t>Vasco da Gama x Flamengo</t>
  </si>
  <si>
    <t>Estádio São Januário</t>
  </si>
  <si>
    <t>Carioca Sub-20</t>
  </si>
  <si>
    <t>O goleiro rubro-negro, Hugo Souza, relatou ter sofrido ofensas racistas por parte de torcedores cruzmaltinos que estavam no setor social do estádio. Segundo o arqueiro, ele foi chamado de “macaco” mais de uma vez.</t>
  </si>
  <si>
    <t>O Flamengo divulgou apoio ao atleta em suas redes sociais. O Cruzmaltino ressalta
ainda que a arbitragem não paralisou a partida como exige a regra, num possível sinal
de imprecisão por parte das autoridades”. Não foram encontradas informações sobre o andamento do caso, se teve sequência na investigação, ou mesmo se foi a julgamento do caso na Justiça Desportiva (TJD-RJ) e de registro de ocorrência.</t>
  </si>
  <si>
    <t>233/2019</t>
  </si>
  <si>
    <t>Iudiney César Rocha e Silva</t>
  </si>
  <si>
    <t>River-PI x Timon</t>
  </si>
  <si>
    <t>Albertão</t>
  </si>
  <si>
    <t>Piauiense Sub-15</t>
  </si>
  <si>
    <t>O árbitro Iudiney Silva relatou ter sido chamado de “urubu” durante o jogo entre River-PI e Timon, pelo Campeonato Piauiense sub-15, disputado no estádio Albertão, em Teresina. O juiz registrou boletim de ocorrência após a partida.</t>
  </si>
  <si>
    <t>O caso foi relatado na súmula da partida. A Federação de Futebol do Piauí (FFP) explicou que, após a confirmação do nome do torcedor, o caso será encaminhado para julgamento no Tribunal de Justiça Desportiva do estado, o TJD-PI, e ao Ministério Público (MP). O torcedor que insultou o árbitro foi identificado. Como terminou: Não foram encontradas informações sobre o julgamento do caso pela Justiça Desportiva (TJD-PI) e do desdobramento do caso na Justiça por conta da denúncia do Ministério Público.</t>
  </si>
  <si>
    <t>TJDPI</t>
  </si>
  <si>
    <t>Marcelo Santos</t>
  </si>
  <si>
    <t>234/2019</t>
  </si>
  <si>
    <t>Júlio Nascimento</t>
  </si>
  <si>
    <t>Guarani x América MG</t>
  </si>
  <si>
    <t>O Júlio Nascimento, jornalista da Rádio e TV Bandeirantes de Campinas, foi vítima de racismo, sendo xingado por um torcedor bugrino de ‘macaco’, ‘negro de merda’, entre outras coisas, enquanto passava próximo ao setor das vitalícias.</t>
  </si>
  <si>
    <t>jornalista, o Guarani e a Aceesp (Associação dos Cronistas Esportivos de São Paulo) se manifestaram sobre o caso. Não foram encontradas informações sobre o andamento do caso, se ocorreu investigação, se o agressor foi identificado, se ocorreu julgamento do caso pela Justiça Desportiva (TJD-SP) ou mesmo se foi realizado registro de ocorrência.</t>
  </si>
  <si>
    <t>235/2019</t>
  </si>
  <si>
    <t>Flamengo x River Plate</t>
  </si>
  <si>
    <t>Lima</t>
  </si>
  <si>
    <t>Um torcedor do River Plate imitou um macaco como forma de provocação aos torcedores flamenguistas, o que gerou a revolta dos rubro-negros e um princípio de confusão em Lima.</t>
  </si>
  <si>
    <t>O vídeo com a imagem circulou nas redes sociais e programas de TV no
Brasil. Não foram encontradas informações sobre algum pronunciamento
oficial da CONMEBOL sobre o incidente, tão pouco julgamento ou punição.</t>
  </si>
  <si>
    <t>236/2019</t>
  </si>
  <si>
    <t>João Antônio</t>
  </si>
  <si>
    <t>Grêmio x Nacional</t>
  </si>
  <si>
    <t>Sesc</t>
  </si>
  <si>
    <t>Copa RS Sub-20</t>
  </si>
  <si>
    <t>João Antônio, auxiliar técnico do Grêmio sub-20, denunciou ato racista de um integrante da delegação do Nacional-URU. O episódio ocorreu depois do apito final do jogo. O episódio
foi relatado à arbitragem, a Brigada Militar foi acionada e João Antônio e o técnico da equipe Uruguai, Tabare Alonso, foram conduzidos à 14ª Delegacia da Polícia Civil.</t>
  </si>
  <si>
    <t>O caso foi relatado em súmula pelo árbitro. João Marcelo aceitou as desculpas do treinador do Nacional, Tabaré Alonso, que negou ter cometido ato.</t>
  </si>
  <si>
    <t>237/2019</t>
  </si>
  <si>
    <t>Atletas Sub-20 do Athletico PR</t>
  </si>
  <si>
    <t>Peñarol x Athletico PR</t>
  </si>
  <si>
    <t>Municipal Homero Soldatelli</t>
  </si>
  <si>
    <t>Flores da Cunha</t>
  </si>
  <si>
    <t>Os jogadores do Sub-20 do Athletico reclamaram de insultos racistas por parte de atletas do Peñarol, pela Copa RS Sub-20. Através de postagem no Instagram, o meia Kawan denunciou as ofensas por parte dos adversários e fez um pedido por respeito no esporte.</t>
  </si>
  <si>
    <t xml:space="preserve">O caso repercutiu nas redes sociais. Não foram encontradas informações sobre o julgamento do caso pela organização da competição, nem manifestação
do clube. </t>
  </si>
  <si>
    <t>238/2019</t>
  </si>
  <si>
    <t>Matheus Miranda</t>
  </si>
  <si>
    <t>Vasco x Independiente</t>
  </si>
  <si>
    <t>Aos 46 do segundo tempo, antes de cobrar o pênalti que daria a vitória ao Vasco, o zagueiro Miranda relatou ao árbitro ter sido chamado de “macaco” por algum adversário.</t>
  </si>
  <si>
    <t>O caso foi registrado na súmula da partida. O zagueiro Miranda, do time sub-20 do Vasco, foi à oitava Delegacia de Polícia Civil em Flores da Cunha (RS) e prestou queixa pela injúria sofrida no jogo contra o Independiente, da Argentina. Após ser vítima de racismo, Miranda, do Vasco, se manifestou nas redes sociais: “Triste demais”. Não foram encontradas informações sobre o andamento do caso, nem se caso foi a julgamento do caso pela Justiça Desportiva.</t>
  </si>
  <si>
    <t>Tomas Pozzo</t>
  </si>
  <si>
    <t>239/2019</t>
  </si>
  <si>
    <t>Diretoria Ponte Preta</t>
  </si>
  <si>
    <t>O conselheiro contribuinte Marco Antonio Castiglieri fez um comentário na internet, interpretado como preconceituoso em relação à nova diretoria do clube, “Tiãozinho compõe diretoria da Ponte Preta com três negros e uma mulher; (...)”.</t>
  </si>
  <si>
    <t>Além da investigação do próprio clube, a Polícia Civil também abriu um inquérito para investigar a situação. O fato gerou a suspensão do conselheiro. Além disso, as matérias que divulgaram a suspensão do conselheiro informaram que outro julgamento seria realizado, mas não foram encontradas mais informações
a respeito.</t>
  </si>
  <si>
    <t>Marco Antônio Castiglieri</t>
  </si>
  <si>
    <t>240/2019</t>
  </si>
  <si>
    <t>América x Juventus</t>
  </si>
  <si>
    <t>Estádio local da cidade</t>
  </si>
  <si>
    <t>Ajuricaba</t>
  </si>
  <si>
    <t>Municipal de Ajuricaba</t>
  </si>
  <si>
    <t>Márcio Chagas da Silva foi vítima de xingamentos racistas durante um jogo, em Ajuricaba, na Região Noroeste do RS. Ele havia sido convidado para apitar a partida da final do Campeonato municipal, quando ouviu, de um homem que acompanhava o jogo: “apita direito, negro safado, se não apitar direito vão fazer que nem em Bento Gonçalves”. Chagas registrou ocorrência e crime será investigado.</t>
  </si>
  <si>
    <t>Na delegacia, o homem foi autuado por injúria discriminatória, e liberado.
Não foi lavrado flagrante, conforme o delegado Maurício Posselt, pois não havia testemunhas do crime no momento do registro da ocorrência. Chagas diz que pretende representar criminalmente contra o homem. Como terminou: Não foram encontradas
informações sobre o julgamento do caso pela organização da competição, assim como não foram encontradas informações sobre andamento do processo na Justiça.</t>
  </si>
  <si>
    <t>241/2019</t>
  </si>
  <si>
    <t>Lincoln</t>
  </si>
  <si>
    <t>O zagueiro Matheus Thuler, do Flamengo, chamou o atacante Lincoln, seu companheiro no clube carioca, de “macaco” em
uma ligação em vídeo na internet.</t>
  </si>
  <si>
    <t>O vídeo repercutiu negativamente nas redes sociais. Lincoln aceitou o pedido de
desculpas, inclusive usou a sua rede social para aceitar o pedido de desculpas. Nenhuma ação foi tomada.</t>
  </si>
  <si>
    <t>Matheus Thuler</t>
  </si>
  <si>
    <t>7 - Argentina</t>
  </si>
  <si>
    <t>PARCIAL</t>
  </si>
  <si>
    <t>Ano</t>
  </si>
  <si>
    <t>Sem identificação</t>
  </si>
  <si>
    <t>Copa São Paulo de Futebol Júnior</t>
  </si>
  <si>
    <t>FPF - Federação Paulista de Futebol</t>
  </si>
  <si>
    <t>FBF - Federação Baiana de Futebol</t>
  </si>
  <si>
    <t>Paulista A3</t>
  </si>
  <si>
    <t>Paulista - A3</t>
  </si>
  <si>
    <t>Paulista A4</t>
  </si>
  <si>
    <t>Paulista - A4</t>
  </si>
  <si>
    <t>Goiano</t>
  </si>
  <si>
    <t>FGF - Federação Goiana de Futebol</t>
  </si>
  <si>
    <t>Copa Alagoas</t>
  </si>
  <si>
    <t>FAF - Federação Alagoana de Futebol</t>
  </si>
  <si>
    <t>Copa do Nordeste</t>
  </si>
  <si>
    <t>CBF - Confederação Brasileira de Futebol</t>
  </si>
  <si>
    <t>FAF - Federação Amazonense de Futebol</t>
  </si>
  <si>
    <t>Paranaense</t>
  </si>
  <si>
    <t>FPF - Federação Paranaense de Futebol</t>
  </si>
  <si>
    <t>Sul-Mato-Grossense</t>
  </si>
  <si>
    <t>FFMS - Federação de Futebol de Mato Grosso do Sul</t>
  </si>
  <si>
    <t>Recopa Sul-Americana</t>
  </si>
  <si>
    <t>Conmebol - Confederação Sul-Americana de Futebol</t>
  </si>
  <si>
    <t>Paulista - A2</t>
  </si>
  <si>
    <t>FGF - Federação Gaúcha de Futebol</t>
  </si>
  <si>
    <t>Paraense</t>
  </si>
  <si>
    <t>FPF - Federação Paraense de Futebol</t>
  </si>
  <si>
    <t>Capixaba</t>
  </si>
  <si>
    <t xml:space="preserve">FES - Federação de Futebol do Estado do Espírito Santo </t>
  </si>
  <si>
    <t>Cearense - Série B</t>
  </si>
  <si>
    <t>FCF - Federação Cearense de Futebol</t>
  </si>
  <si>
    <t>Paraibano</t>
  </si>
  <si>
    <t>FPF -  Federação Paraibana de Futebol</t>
  </si>
  <si>
    <t>Cearense Masculino Sub-17</t>
  </si>
  <si>
    <t>Mineiro</t>
  </si>
  <si>
    <t>FMF - Federação Mineira de Futebol</t>
  </si>
  <si>
    <t>Brasileiro Feminino - A2</t>
  </si>
  <si>
    <t>Jogos Escolares</t>
  </si>
  <si>
    <t>Brasileiro - Série B</t>
  </si>
  <si>
    <t>Paulista Sub-20</t>
  </si>
  <si>
    <t>Libertadores</t>
  </si>
  <si>
    <t>Goiano - 2ª Divisão</t>
  </si>
  <si>
    <t>Brasileiro - Série A</t>
  </si>
  <si>
    <t>Brasileirão - Série A</t>
  </si>
  <si>
    <t>Feminino Sub-15</t>
  </si>
  <si>
    <t>Paulista Feminino Sub-15</t>
  </si>
  <si>
    <t>Paulista Sub-23</t>
  </si>
  <si>
    <t>Sub-13</t>
  </si>
  <si>
    <t>Paulista Sub-23 - 2ª Divisão</t>
  </si>
  <si>
    <t>Paulista Sub-14</t>
  </si>
  <si>
    <t>Regional do Açucar</t>
  </si>
  <si>
    <t>Copa Unipontal</t>
  </si>
  <si>
    <t>Sul-Mato-Grossense Sub-20</t>
  </si>
  <si>
    <t>Paulista Sub-13</t>
  </si>
  <si>
    <t>Paulista Feminino Sub-17</t>
  </si>
  <si>
    <t>Candangão Sub-15</t>
  </si>
  <si>
    <t>FFDF - Federação de Futebol do Distrito Federal</t>
  </si>
  <si>
    <t>Mato-Grossense Sub-15</t>
  </si>
  <si>
    <t>FMF - Federação Mato-Grossense de Futebol</t>
  </si>
  <si>
    <t>FERJ - Federação de Futebol do Estado do Rio de Janeiro</t>
  </si>
  <si>
    <t>Paulista Sub-15</t>
  </si>
  <si>
    <t>Brasileiro Série A</t>
  </si>
  <si>
    <t>Copa Sul Sub-15</t>
  </si>
  <si>
    <t>3 Federações do Sul</t>
  </si>
  <si>
    <t>Futebol Infantil</t>
  </si>
  <si>
    <t>Dani Cup Brasil</t>
  </si>
  <si>
    <t>Copa Santa Catarina Sub-17</t>
  </si>
  <si>
    <t>FCF - Federação Catarinense de Futebol</t>
  </si>
  <si>
    <t>Campeonato Ingazeirense</t>
  </si>
  <si>
    <t>Copa Cidade Azul - Sub-14</t>
  </si>
  <si>
    <t>Ladies Cup</t>
  </si>
  <si>
    <t>FIFOS - Federação Internacional de Football Soccer Society com a FPF - Federação Paulista de Futebol</t>
  </si>
  <si>
    <t>Amistoso</t>
  </si>
  <si>
    <t>Padrão</t>
  </si>
  <si>
    <t xml:space="preserve">Responsável </t>
  </si>
  <si>
    <t xml:space="preserve">  </t>
  </si>
  <si>
    <t>Copa Uberaba de Futebol Júnior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</si>
</sst>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Red]0.00"/>
  </numFmts>
  <fonts count="12" x14ac:knownFonts="1">
    <font>
      <sz val="11"/>
      <color theme="1"/>
      <name val="Aptos Narrow"/>
      <family val="2"/>
      <scheme val="minor"/>
    </font>
    <font>
      <b/>
      <sz val="11"/>
      <color theme="1"/>
      <name val="Aptos Narrow"/>
      <family val="2"/>
      <scheme val="minor"/>
    </font>
    <font>
      <b/>
      <sz val="11"/>
      <name val="Aptos Narrow"/>
      <family val="2"/>
      <scheme val="minor"/>
    </font>
    <font>
      <b/>
      <sz val="11"/>
      <color theme="3" tint="9.9978637043366805E-2"/>
      <name val="Aptos Narrow"/>
      <family val="2"/>
      <scheme val="minor"/>
    </font>
    <font>
      <b/>
      <sz val="11"/>
      <color rgb="FFFFC000"/>
      <name val="Aptos Narrow"/>
      <family val="2"/>
      <scheme val="minor"/>
    </font>
    <font>
      <b/>
      <sz val="11"/>
      <color rgb="FFC00000"/>
      <name val="Aptos Narrow"/>
      <family val="2"/>
      <scheme val="minor"/>
    </font>
    <font>
      <b/>
      <sz val="11"/>
      <color theme="6" tint="-0.249977111117893"/>
      <name val="Aptos Narrow"/>
      <family val="2"/>
      <scheme val="minor"/>
    </font>
    <font>
      <sz val="11"/>
      <color rgb="FF000000"/>
      <name val="Aptos Narrow"/>
      <family val="2"/>
      <scheme val="minor"/>
    </font>
    <font>
      <sz val="11"/>
      <color theme="1"/>
      <name val="Aptos"/>
      <family val="2"/>
    </font>
    <font>
      <b/>
      <sz val="11"/>
      <color theme="1"/>
      <name val="Aptos"/>
      <family val="2"/>
    </font>
    <font>
      <sz val="11"/>
      <color rgb="FF000000"/>
      <name val="Aptos Narrow"/>
      <family val="2"/>
    </font>
    <font>
      <u/>
      <sz val="11"/>
      <color theme="1"/>
      <name val="Aptos Narrow"/>
      <family val="2"/>
      <scheme val="minor"/>
    </font>
  </fonts>
  <fills count="9">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
      <patternFill patternType="solid">
        <fgColor theme="0"/>
        <bgColor indexed="64"/>
      </patternFill>
    </fill>
    <fill>
      <patternFill patternType="solid">
        <fgColor theme="1"/>
        <bgColor indexed="64"/>
      </patternFill>
    </fill>
    <fill>
      <patternFill patternType="solid">
        <fgColor theme="5" tint="0.79998168889431442"/>
        <bgColor indexed="64"/>
      </patternFill>
    </fill>
    <fill>
      <patternFill patternType="solid">
        <fgColor theme="0" tint="-0.249977111117893"/>
        <bgColor indexed="64"/>
      </patternFill>
    </fill>
    <fill>
      <patternFill patternType="solid">
        <fgColor rgb="FF92D050"/>
        <bgColor indexed="64"/>
      </patternFill>
    </fill>
  </fills>
  <borders count="39">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medium">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medium">
        <color indexed="64"/>
      </top>
      <bottom/>
      <diagonal/>
    </border>
  </borders>
  <cellStyleXfs count="1">
    <xf numFmtId="0" fontId="0" fillId="0" borderId="0"/>
  </cellStyleXfs>
  <cellXfs count="132">
    <xf numFmtId="0" fontId="0" fillId="0" borderId="0" xfId="0"/>
    <xf numFmtId="0" fontId="1" fillId="0" borderId="0" xfId="0" applyFont="1" applyAlignment="1">
      <alignment horizontal="center"/>
    </xf>
    <xf numFmtId="0" fontId="1" fillId="0" borderId="1" xfId="0" applyFont="1" applyBorder="1" applyAlignment="1">
      <alignment horizontal="center"/>
    </xf>
    <xf numFmtId="0" fontId="0" fillId="0" borderId="1" xfId="0" applyBorder="1"/>
    <xf numFmtId="0" fontId="1" fillId="0" borderId="3" xfId="0" applyFont="1" applyBorder="1" applyAlignment="1">
      <alignment horizontal="center"/>
    </xf>
    <xf numFmtId="0" fontId="1" fillId="2" borderId="4" xfId="0" applyFont="1" applyFill="1" applyBorder="1" applyAlignment="1">
      <alignment horizontal="center"/>
    </xf>
    <xf numFmtId="0" fontId="1" fillId="2" borderId="5" xfId="0" applyFont="1" applyFill="1" applyBorder="1" applyAlignment="1">
      <alignment horizontal="center"/>
    </xf>
    <xf numFmtId="0" fontId="1" fillId="2" borderId="6" xfId="0" applyFont="1" applyFill="1" applyBorder="1" applyAlignment="1">
      <alignment horizontal="center"/>
    </xf>
    <xf numFmtId="0" fontId="1" fillId="2" borderId="2" xfId="0" applyFont="1" applyFill="1" applyBorder="1" applyAlignment="1">
      <alignment horizontal="center"/>
    </xf>
    <xf numFmtId="0" fontId="0" fillId="0" borderId="11" xfId="0" applyBorder="1"/>
    <xf numFmtId="0" fontId="0" fillId="0" borderId="12" xfId="0" applyBorder="1"/>
    <xf numFmtId="0" fontId="0" fillId="0" borderId="13" xfId="0" applyBorder="1"/>
    <xf numFmtId="0" fontId="0" fillId="0" borderId="0" xfId="0" applyAlignment="1">
      <alignment horizontal="center"/>
    </xf>
    <xf numFmtId="0" fontId="0" fillId="0" borderId="17" xfId="0" applyBorder="1" applyAlignment="1">
      <alignment horizontal="center"/>
    </xf>
    <xf numFmtId="0" fontId="0" fillId="0" borderId="12" xfId="0" applyBorder="1" applyAlignment="1">
      <alignment horizontal="center"/>
    </xf>
    <xf numFmtId="0" fontId="0" fillId="0" borderId="14" xfId="0" applyBorder="1" applyAlignment="1">
      <alignment horizontal="center"/>
    </xf>
    <xf numFmtId="0" fontId="0" fillId="0" borderId="2" xfId="0" applyBorder="1" applyAlignment="1">
      <alignment horizontal="center"/>
    </xf>
    <xf numFmtId="0" fontId="2" fillId="3" borderId="4" xfId="0" applyFont="1" applyFill="1" applyBorder="1" applyAlignment="1">
      <alignment horizontal="center"/>
    </xf>
    <xf numFmtId="0" fontId="2" fillId="3" borderId="5" xfId="0" applyFont="1" applyFill="1" applyBorder="1" applyAlignment="1">
      <alignment horizontal="center"/>
    </xf>
    <xf numFmtId="0" fontId="2" fillId="0" borderId="5" xfId="0" applyFont="1" applyBorder="1" applyAlignment="1">
      <alignment horizontal="center"/>
    </xf>
    <xf numFmtId="0" fontId="2" fillId="0" borderId="6" xfId="0" applyFont="1" applyBorder="1" applyAlignment="1">
      <alignment horizontal="center"/>
    </xf>
    <xf numFmtId="0" fontId="1" fillId="0" borderId="18" xfId="0" applyFont="1" applyBorder="1" applyAlignment="1">
      <alignment horizontal="center"/>
    </xf>
    <xf numFmtId="0" fontId="0" fillId="0" borderId="3" xfId="0" applyBorder="1" applyAlignment="1">
      <alignment horizontal="center"/>
    </xf>
    <xf numFmtId="0" fontId="1" fillId="0" borderId="19" xfId="0" applyFont="1" applyBorder="1" applyAlignment="1">
      <alignment horizontal="center"/>
    </xf>
    <xf numFmtId="0" fontId="3" fillId="0" borderId="8" xfId="0" applyFont="1" applyBorder="1" applyAlignment="1">
      <alignment horizontal="center"/>
    </xf>
    <xf numFmtId="0" fontId="0" fillId="0" borderId="1" xfId="0" applyBorder="1" applyAlignment="1">
      <alignment horizontal="center"/>
    </xf>
    <xf numFmtId="0" fontId="3" fillId="0" borderId="9" xfId="0" applyFont="1" applyBorder="1" applyAlignment="1">
      <alignment horizontal="center"/>
    </xf>
    <xf numFmtId="0" fontId="1" fillId="0" borderId="8" xfId="0" applyFont="1" applyBorder="1" applyAlignment="1">
      <alignment horizontal="center"/>
    </xf>
    <xf numFmtId="0" fontId="1" fillId="0" borderId="9" xfId="0" applyFont="1" applyBorder="1" applyAlignment="1">
      <alignment horizontal="center"/>
    </xf>
    <xf numFmtId="0" fontId="4" fillId="0" borderId="8" xfId="0" applyFont="1" applyBorder="1" applyAlignment="1">
      <alignment horizontal="center"/>
    </xf>
    <xf numFmtId="0" fontId="4" fillId="0" borderId="9" xfId="0" applyFont="1" applyBorder="1" applyAlignment="1">
      <alignment horizontal="center"/>
    </xf>
    <xf numFmtId="0" fontId="5" fillId="0" borderId="8" xfId="0" applyFont="1" applyBorder="1" applyAlignment="1">
      <alignment horizontal="center"/>
    </xf>
    <xf numFmtId="0" fontId="5" fillId="0" borderId="9" xfId="0" applyFont="1" applyBorder="1" applyAlignment="1">
      <alignment horizontal="center"/>
    </xf>
    <xf numFmtId="0" fontId="6" fillId="0" borderId="8" xfId="0" applyFont="1" applyBorder="1" applyAlignment="1">
      <alignment horizontal="center"/>
    </xf>
    <xf numFmtId="0" fontId="6" fillId="0" borderId="9" xfId="0" applyFont="1" applyBorder="1" applyAlignment="1">
      <alignment horizontal="center"/>
    </xf>
    <xf numFmtId="0" fontId="6" fillId="0" borderId="10" xfId="0" applyFont="1" applyBorder="1" applyAlignment="1">
      <alignment horizontal="center"/>
    </xf>
    <xf numFmtId="0" fontId="0" fillId="0" borderId="15" xfId="0" applyBorder="1" applyAlignment="1">
      <alignment horizontal="center"/>
    </xf>
    <xf numFmtId="0" fontId="6" fillId="0" borderId="16" xfId="0" applyFont="1" applyBorder="1" applyAlignment="1">
      <alignment horizontal="center"/>
    </xf>
    <xf numFmtId="0" fontId="1" fillId="0" borderId="4" xfId="0" applyFont="1" applyBorder="1" applyAlignment="1">
      <alignment horizontal="center"/>
    </xf>
    <xf numFmtId="0" fontId="1" fillId="0" borderId="5" xfId="0" applyFont="1" applyBorder="1" applyAlignment="1">
      <alignment horizontal="center"/>
    </xf>
    <xf numFmtId="0" fontId="1" fillId="0" borderId="6" xfId="0" applyFont="1" applyBorder="1" applyAlignment="1">
      <alignment horizontal="center"/>
    </xf>
    <xf numFmtId="0" fontId="2" fillId="2" borderId="4" xfId="0" applyFont="1" applyFill="1" applyBorder="1" applyAlignment="1">
      <alignment horizontal="center"/>
    </xf>
    <xf numFmtId="0" fontId="2" fillId="2" borderId="5" xfId="0" applyFont="1" applyFill="1" applyBorder="1" applyAlignment="1">
      <alignment horizontal="center"/>
    </xf>
    <xf numFmtId="0" fontId="0" fillId="0" borderId="7" xfId="0" applyBorder="1" applyAlignment="1">
      <alignment horizontal="center"/>
    </xf>
    <xf numFmtId="0" fontId="6" fillId="0" borderId="0" xfId="0" applyFont="1" applyAlignment="1">
      <alignment horizontal="center"/>
    </xf>
    <xf numFmtId="0" fontId="1" fillId="2" borderId="11" xfId="0" applyFont="1" applyFill="1" applyBorder="1" applyAlignment="1">
      <alignment horizontal="center"/>
    </xf>
    <xf numFmtId="0" fontId="3" fillId="2" borderId="12" xfId="0" applyFont="1" applyFill="1" applyBorder="1" applyAlignment="1">
      <alignment horizontal="center"/>
    </xf>
    <xf numFmtId="0" fontId="1" fillId="2" borderId="12" xfId="0" applyFont="1" applyFill="1" applyBorder="1" applyAlignment="1">
      <alignment horizontal="center"/>
    </xf>
    <xf numFmtId="0" fontId="4" fillId="2" borderId="12" xfId="0" applyFont="1" applyFill="1" applyBorder="1" applyAlignment="1">
      <alignment horizontal="center"/>
    </xf>
    <xf numFmtId="0" fontId="5" fillId="2" borderId="12" xfId="0" applyFont="1" applyFill="1" applyBorder="1" applyAlignment="1">
      <alignment horizontal="center"/>
    </xf>
    <xf numFmtId="0" fontId="6" fillId="2" borderId="12" xfId="0" applyFont="1" applyFill="1" applyBorder="1" applyAlignment="1">
      <alignment horizontal="center"/>
    </xf>
    <xf numFmtId="0" fontId="6" fillId="2" borderId="13" xfId="0" applyFont="1" applyFill="1" applyBorder="1" applyAlignment="1">
      <alignment horizontal="center"/>
    </xf>
    <xf numFmtId="0" fontId="1" fillId="0" borderId="2" xfId="0" applyFont="1" applyBorder="1" applyAlignment="1">
      <alignment horizontal="center"/>
    </xf>
    <xf numFmtId="0" fontId="6" fillId="0" borderId="20" xfId="0" applyFont="1" applyBorder="1"/>
    <xf numFmtId="0" fontId="0" fillId="0" borderId="11" xfId="0" applyBorder="1" applyAlignment="1">
      <alignment horizontal="center"/>
    </xf>
    <xf numFmtId="0" fontId="5" fillId="0" borderId="21" xfId="0" applyFont="1" applyBorder="1"/>
    <xf numFmtId="0" fontId="4" fillId="0" borderId="21" xfId="0" applyFont="1" applyBorder="1"/>
    <xf numFmtId="0" fontId="3" fillId="0" borderId="21" xfId="0" applyFont="1" applyBorder="1"/>
    <xf numFmtId="0" fontId="1" fillId="0" borderId="21" xfId="0" applyFont="1" applyBorder="1"/>
    <xf numFmtId="0" fontId="2" fillId="0" borderId="22" xfId="0" applyFont="1" applyBorder="1" applyAlignment="1">
      <alignment horizontal="center"/>
    </xf>
    <xf numFmtId="0" fontId="0" fillId="0" borderId="13" xfId="0" applyBorder="1" applyAlignment="1">
      <alignment horizontal="center"/>
    </xf>
    <xf numFmtId="0" fontId="2" fillId="4" borderId="23" xfId="0" applyFont="1" applyFill="1" applyBorder="1" applyAlignment="1">
      <alignment horizontal="center"/>
    </xf>
    <xf numFmtId="0" fontId="1" fillId="3" borderId="0" xfId="0" applyFont="1" applyFill="1" applyAlignment="1">
      <alignment horizontal="center"/>
    </xf>
    <xf numFmtId="0" fontId="1" fillId="0" borderId="20" xfId="0" applyFont="1" applyBorder="1"/>
    <xf numFmtId="0" fontId="1" fillId="0" borderId="22" xfId="0" applyFont="1" applyBorder="1"/>
    <xf numFmtId="0" fontId="2" fillId="2" borderId="2" xfId="0" applyFont="1" applyFill="1" applyBorder="1" applyAlignment="1">
      <alignment horizontal="center"/>
    </xf>
    <xf numFmtId="0" fontId="1" fillId="0" borderId="0" xfId="0" applyFont="1"/>
    <xf numFmtId="0" fontId="0" fillId="0" borderId="0" xfId="0" applyAlignment="1">
      <alignment vertical="top" wrapText="1"/>
    </xf>
    <xf numFmtId="0" fontId="0" fillId="0" borderId="0" xfId="0" applyAlignment="1">
      <alignment wrapText="1"/>
    </xf>
    <xf numFmtId="0" fontId="0" fillId="0" borderId="23" xfId="0" applyBorder="1" applyAlignment="1">
      <alignment horizontal="center"/>
    </xf>
    <xf numFmtId="0" fontId="0" fillId="0" borderId="25" xfId="0" applyBorder="1" applyAlignment="1">
      <alignment horizontal="center"/>
    </xf>
    <xf numFmtId="0" fontId="0" fillId="0" borderId="23" xfId="0" applyBorder="1"/>
    <xf numFmtId="0" fontId="0" fillId="0" borderId="24" xfId="0" applyBorder="1" applyAlignment="1">
      <alignment horizontal="center"/>
    </xf>
    <xf numFmtId="0" fontId="0" fillId="5" borderId="0" xfId="0" applyFill="1" applyAlignment="1">
      <alignment vertical="top" wrapText="1"/>
    </xf>
    <xf numFmtId="0" fontId="0" fillId="5" borderId="0" xfId="0" applyFill="1"/>
    <xf numFmtId="0" fontId="1" fillId="3" borderId="2" xfId="0" applyFont="1" applyFill="1" applyBorder="1" applyAlignment="1">
      <alignment horizontal="center"/>
    </xf>
    <xf numFmtId="164" fontId="0" fillId="0" borderId="0" xfId="0" applyNumberFormat="1"/>
    <xf numFmtId="164" fontId="0" fillId="0" borderId="0" xfId="0" applyNumberFormat="1" applyAlignment="1">
      <alignment horizontal="center"/>
    </xf>
    <xf numFmtId="0" fontId="0" fillId="6" borderId="1" xfId="0" applyFill="1" applyBorder="1" applyAlignment="1">
      <alignment horizontal="center"/>
    </xf>
    <xf numFmtId="0" fontId="1" fillId="0" borderId="26" xfId="0" applyFont="1" applyBorder="1" applyAlignment="1">
      <alignment horizontal="center"/>
    </xf>
    <xf numFmtId="0" fontId="3" fillId="0" borderId="27" xfId="0" applyFont="1" applyBorder="1" applyAlignment="1">
      <alignment horizontal="center"/>
    </xf>
    <xf numFmtId="0" fontId="1" fillId="0" borderId="27" xfId="0" applyFont="1" applyBorder="1" applyAlignment="1">
      <alignment horizontal="center"/>
    </xf>
    <xf numFmtId="0" fontId="4" fillId="0" borderId="27" xfId="0" applyFont="1" applyBorder="1" applyAlignment="1">
      <alignment horizontal="center"/>
    </xf>
    <xf numFmtId="0" fontId="5" fillId="0" borderId="27" xfId="0" applyFont="1" applyBorder="1" applyAlignment="1">
      <alignment horizontal="center"/>
    </xf>
    <xf numFmtId="0" fontId="6" fillId="0" borderId="27" xfId="0" applyFont="1" applyBorder="1" applyAlignment="1">
      <alignment horizontal="center"/>
    </xf>
    <xf numFmtId="0" fontId="6" fillId="0" borderId="28" xfId="0" applyFont="1" applyBorder="1" applyAlignment="1">
      <alignment horizontal="center"/>
    </xf>
    <xf numFmtId="0" fontId="0" fillId="6" borderId="18" xfId="0" applyFill="1" applyBorder="1" applyAlignment="1">
      <alignment horizontal="center"/>
    </xf>
    <xf numFmtId="0" fontId="0" fillId="6" borderId="29" xfId="0" applyFill="1" applyBorder="1" applyAlignment="1">
      <alignment horizontal="center"/>
    </xf>
    <xf numFmtId="0" fontId="0" fillId="0" borderId="29" xfId="0" applyBorder="1" applyAlignment="1">
      <alignment horizontal="center"/>
    </xf>
    <xf numFmtId="0" fontId="0" fillId="0" borderId="30" xfId="0" applyBorder="1" applyAlignment="1">
      <alignment horizontal="center"/>
    </xf>
    <xf numFmtId="0" fontId="0" fillId="0" borderId="8" xfId="0" applyBorder="1" applyAlignment="1">
      <alignment horizontal="center"/>
    </xf>
    <xf numFmtId="0" fontId="0" fillId="0" borderId="9" xfId="0" applyBorder="1" applyAlignment="1">
      <alignment horizontal="center"/>
    </xf>
    <xf numFmtId="0" fontId="0" fillId="0" borderId="10" xfId="0" applyBorder="1" applyAlignment="1">
      <alignment horizontal="center"/>
    </xf>
    <xf numFmtId="0" fontId="0" fillId="0" borderId="31" xfId="0" applyBorder="1" applyAlignment="1">
      <alignment horizontal="center"/>
    </xf>
    <xf numFmtId="0" fontId="0" fillId="0" borderId="32" xfId="0" applyBorder="1" applyAlignment="1">
      <alignment horizontal="center"/>
    </xf>
    <xf numFmtId="0" fontId="2" fillId="2" borderId="33" xfId="0" applyFont="1" applyFill="1" applyBorder="1" applyAlignment="1">
      <alignment horizontal="center"/>
    </xf>
    <xf numFmtId="0" fontId="0" fillId="0" borderId="18"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0" borderId="6" xfId="0" applyBorder="1" applyAlignment="1">
      <alignment horizontal="center"/>
    </xf>
    <xf numFmtId="0" fontId="0" fillId="0" borderId="33" xfId="0" applyBorder="1" applyAlignment="1">
      <alignment horizontal="center"/>
    </xf>
    <xf numFmtId="0" fontId="0" fillId="0" borderId="34" xfId="0" applyBorder="1" applyAlignment="1">
      <alignment horizontal="center"/>
    </xf>
    <xf numFmtId="0" fontId="0" fillId="0" borderId="35" xfId="0" applyBorder="1" applyAlignment="1">
      <alignment horizontal="center"/>
    </xf>
    <xf numFmtId="0" fontId="1" fillId="0" borderId="0" xfId="0" applyFont="1" applyAlignment="1">
      <alignment vertical="top" wrapText="1"/>
    </xf>
    <xf numFmtId="0" fontId="0" fillId="3" borderId="0" xfId="0" applyFill="1"/>
    <xf numFmtId="0" fontId="0" fillId="0" borderId="0" xfId="0" applyAlignment="1">
      <alignment vertical="top"/>
    </xf>
    <xf numFmtId="14" fontId="0" fillId="0" borderId="0" xfId="0" applyNumberFormat="1" applyAlignment="1">
      <alignment vertical="top"/>
    </xf>
    <xf numFmtId="0" fontId="7" fillId="0" borderId="0" xfId="0" applyFont="1"/>
    <xf numFmtId="14" fontId="0" fillId="0" borderId="0" xfId="0" applyNumberFormat="1" applyAlignment="1">
      <alignment vertical="top" wrapText="1"/>
    </xf>
    <xf numFmtId="0" fontId="0" fillId="0" borderId="0" xfId="0" applyAlignment="1">
      <alignment horizontal="center" vertical="top" wrapText="1"/>
    </xf>
    <xf numFmtId="0" fontId="8" fillId="0" borderId="0" xfId="0" applyFont="1" applyAlignment="1">
      <alignment vertical="center"/>
    </xf>
    <xf numFmtId="0" fontId="8" fillId="0" borderId="0" xfId="0" applyFont="1"/>
    <xf numFmtId="0" fontId="1" fillId="4" borderId="3" xfId="0" applyFont="1" applyFill="1" applyBorder="1" applyAlignment="1">
      <alignment vertical="top" wrapText="1"/>
    </xf>
    <xf numFmtId="0" fontId="1" fillId="7" borderId="4" xfId="0" applyFont="1" applyFill="1" applyBorder="1" applyAlignment="1">
      <alignment vertical="top"/>
    </xf>
    <xf numFmtId="0" fontId="1" fillId="7" borderId="5" xfId="0" applyFont="1" applyFill="1" applyBorder="1" applyAlignment="1">
      <alignment vertical="top"/>
    </xf>
    <xf numFmtId="0" fontId="1" fillId="7" borderId="5" xfId="0" applyFont="1" applyFill="1" applyBorder="1" applyAlignment="1">
      <alignment vertical="top" wrapText="1"/>
    </xf>
    <xf numFmtId="0" fontId="1" fillId="7" borderId="6" xfId="0" applyFont="1" applyFill="1" applyBorder="1" applyAlignment="1">
      <alignment vertical="top" wrapText="1"/>
    </xf>
    <xf numFmtId="0" fontId="1" fillId="7" borderId="36" xfId="0" applyFont="1" applyFill="1" applyBorder="1" applyAlignment="1">
      <alignment vertical="top" wrapText="1"/>
    </xf>
    <xf numFmtId="17" fontId="0" fillId="0" borderId="0" xfId="0" applyNumberFormat="1" applyAlignment="1">
      <alignment vertical="top" wrapText="1"/>
    </xf>
    <xf numFmtId="14" fontId="0" fillId="4" borderId="0" xfId="0" applyNumberFormat="1" applyFill="1" applyAlignment="1">
      <alignment vertical="top" wrapText="1"/>
    </xf>
    <xf numFmtId="0" fontId="10" fillId="0" borderId="0" xfId="0" applyFont="1" applyAlignment="1">
      <alignment vertical="center"/>
    </xf>
    <xf numFmtId="0" fontId="0" fillId="8" borderId="0" xfId="0" applyFill="1" applyAlignment="1">
      <alignment vertical="top" wrapText="1"/>
    </xf>
    <xf numFmtId="0" fontId="0" fillId="0" borderId="0" xfId="0" quotePrefix="1" applyAlignment="1">
      <alignment vertical="top" wrapText="1"/>
    </xf>
    <xf numFmtId="0" fontId="11" fillId="0" borderId="0" xfId="0" applyFont="1" applyAlignment="1">
      <alignment vertical="top" wrapText="1"/>
    </xf>
    <xf numFmtId="0" fontId="0" fillId="0" borderId="29" xfId="0" applyBorder="1" applyAlignment="1">
      <alignment vertical="center" wrapText="1"/>
    </xf>
    <xf numFmtId="0" fontId="0" fillId="0" borderId="37" xfId="0" applyBorder="1" applyAlignment="1">
      <alignment vertical="center" wrapText="1"/>
    </xf>
    <xf numFmtId="0" fontId="0" fillId="0" borderId="1" xfId="0" applyBorder="1" applyAlignment="1">
      <alignment vertical="center" wrapText="1"/>
    </xf>
    <xf numFmtId="0" fontId="0" fillId="0" borderId="0" xfId="0" applyAlignment="1">
      <alignment vertical="center" wrapText="1"/>
    </xf>
    <xf numFmtId="0" fontId="0" fillId="0" borderId="36" xfId="0" applyBorder="1" applyAlignment="1">
      <alignment vertical="center" wrapText="1"/>
    </xf>
    <xf numFmtId="0" fontId="0" fillId="0" borderId="31" xfId="0" applyBorder="1" applyAlignment="1">
      <alignment vertical="center" wrapText="1"/>
    </xf>
    <xf numFmtId="0" fontId="1" fillId="7" borderId="38" xfId="0" applyFont="1" applyFill="1" applyBorder="1" applyAlignment="1">
      <alignment horizontal="center" vertical="center" wrapText="1"/>
    </xf>
    <xf numFmtId="0" fontId="1" fillId="7" borderId="37"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1</xdr:col>
      <xdr:colOff>257175</xdr:colOff>
      <xdr:row>11</xdr:row>
      <xdr:rowOff>85725</xdr:rowOff>
    </xdr:from>
    <xdr:to>
      <xdr:col>11</xdr:col>
      <xdr:colOff>600075</xdr:colOff>
      <xdr:row>25</xdr:row>
      <xdr:rowOff>103783</xdr:rowOff>
    </xdr:to>
    <xdr:pic>
      <xdr:nvPicPr>
        <xdr:cNvPr id="2" name="Imagem 1">
          <a:extLst>
            <a:ext uri="{FF2B5EF4-FFF2-40B4-BE49-F238E27FC236}">
              <a16:creationId xmlns:a16="http://schemas.microsoft.com/office/drawing/2014/main" id="{2A288B3B-E368-A5FB-9E5C-39529891195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6775" y="2219325"/>
          <a:ext cx="6743700" cy="2685058"/>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14</xdr:col>
      <xdr:colOff>68581</xdr:colOff>
      <xdr:row>5</xdr:row>
      <xdr:rowOff>65017</xdr:rowOff>
    </xdr:from>
    <xdr:to>
      <xdr:col>22</xdr:col>
      <xdr:colOff>199316</xdr:colOff>
      <xdr:row>23</xdr:row>
      <xdr:rowOff>154305</xdr:rowOff>
    </xdr:to>
    <xdr:pic>
      <xdr:nvPicPr>
        <xdr:cNvPr id="2" name="Imagem 1">
          <a:extLst>
            <a:ext uri="{FF2B5EF4-FFF2-40B4-BE49-F238E27FC236}">
              <a16:creationId xmlns:a16="http://schemas.microsoft.com/office/drawing/2014/main" id="{B75EF1FE-5978-3F9A-6051-E5C60023DD8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203056" y="1027042"/>
          <a:ext cx="5007535" cy="3537338"/>
        </a:xfrm>
        <a:prstGeom prst="rect">
          <a:avLst/>
        </a:prstGeom>
        <a:noFill/>
        <a:ln>
          <a:noFill/>
        </a:ln>
      </xdr:spPr>
    </xdr:pic>
    <xdr:clientData/>
  </xdr:twoCellAnchor>
</xdr:wsDr>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3D4685-7A32-41E1-8488-31C356DD402C}">
  <dimension ref="A1:O9"/>
  <sheetViews>
    <sheetView tabSelected="1" workbookViewId="0">
      <selection activeCell="E20" sqref="E20"/>
    </sheetView>
  </sheetViews>
  <sheetFormatPr defaultRowHeight="15" x14ac:dyDescent="0.25"/>
  <sheetData>
    <row r="1" spans="1:15" ht="15.75" thickBot="1" x14ac:dyDescent="0.3"/>
    <row r="2" spans="1:15" ht="15.75" thickBot="1" x14ac:dyDescent="0.3">
      <c r="A2" s="66" t="s">
        <v>1757</v>
      </c>
      <c r="B2" s="5">
        <v>2014</v>
      </c>
      <c r="C2" s="6">
        <v>2015</v>
      </c>
      <c r="D2" s="6">
        <v>2016</v>
      </c>
      <c r="E2" s="6">
        <v>2017</v>
      </c>
      <c r="F2" s="6">
        <v>2018</v>
      </c>
      <c r="G2" s="6">
        <v>2019</v>
      </c>
      <c r="H2" s="6">
        <v>2020</v>
      </c>
      <c r="I2" s="6">
        <v>2021</v>
      </c>
      <c r="J2" s="6">
        <v>2022</v>
      </c>
      <c r="K2" s="6">
        <v>2023</v>
      </c>
      <c r="L2" s="6">
        <v>2024</v>
      </c>
      <c r="M2" s="7">
        <v>2025</v>
      </c>
      <c r="O2" s="8" t="s">
        <v>0</v>
      </c>
    </row>
    <row r="3" spans="1:15" x14ac:dyDescent="0.25">
      <c r="A3" s="66" t="s">
        <v>76</v>
      </c>
      <c r="B3" s="4">
        <v>26</v>
      </c>
      <c r="C3" s="4">
        <v>33</v>
      </c>
      <c r="D3" s="4">
        <v>25</v>
      </c>
      <c r="E3" s="4">
        <v>42</v>
      </c>
      <c r="F3" s="4">
        <v>46</v>
      </c>
      <c r="G3" s="4">
        <v>70</v>
      </c>
      <c r="H3" s="4">
        <v>31</v>
      </c>
      <c r="I3" s="4">
        <v>64</v>
      </c>
      <c r="J3" s="4">
        <v>98</v>
      </c>
      <c r="K3" s="4">
        <v>136</v>
      </c>
      <c r="L3" s="4">
        <v>109</v>
      </c>
      <c r="M3" s="4"/>
      <c r="N3" s="1"/>
      <c r="O3" s="4">
        <f>SUM(B3:M3)</f>
        <v>680</v>
      </c>
    </row>
    <row r="4" spans="1:15" x14ac:dyDescent="0.25">
      <c r="K4" t="s">
        <v>93</v>
      </c>
    </row>
    <row r="5" spans="1:15" x14ac:dyDescent="0.25">
      <c r="A5" s="66" t="s">
        <v>33</v>
      </c>
      <c r="B5" s="2">
        <v>25</v>
      </c>
      <c r="C5" s="2">
        <v>36</v>
      </c>
      <c r="D5" s="2">
        <v>26</v>
      </c>
      <c r="E5" s="2">
        <v>43</v>
      </c>
      <c r="F5" s="2">
        <v>47</v>
      </c>
      <c r="G5" s="2">
        <v>70</v>
      </c>
      <c r="H5" s="2">
        <v>31</v>
      </c>
      <c r="I5" s="2">
        <v>64</v>
      </c>
      <c r="J5" s="2">
        <v>98</v>
      </c>
      <c r="K5" s="2">
        <v>136</v>
      </c>
      <c r="L5" s="2">
        <v>109</v>
      </c>
      <c r="M5" s="3"/>
      <c r="O5" s="2">
        <f>SUM(B5:M5)</f>
        <v>685</v>
      </c>
    </row>
    <row r="7" spans="1:15" ht="15.75" thickBot="1" x14ac:dyDescent="0.3"/>
    <row r="8" spans="1:15" ht="15.75" thickBot="1" x14ac:dyDescent="0.3">
      <c r="A8" t="s">
        <v>1756</v>
      </c>
      <c r="B8" s="5">
        <v>2014</v>
      </c>
      <c r="C8" s="6">
        <v>2015</v>
      </c>
      <c r="D8" s="6">
        <v>2016</v>
      </c>
      <c r="E8" s="6">
        <v>2017</v>
      </c>
      <c r="F8" s="6">
        <v>2018</v>
      </c>
      <c r="G8" s="6">
        <v>2019</v>
      </c>
      <c r="H8" s="6">
        <v>2020</v>
      </c>
      <c r="I8" s="6">
        <v>2021</v>
      </c>
      <c r="J8" s="6">
        <v>2022</v>
      </c>
      <c r="K8" s="6">
        <v>2023</v>
      </c>
      <c r="L8" s="6">
        <v>2024</v>
      </c>
      <c r="M8" s="7">
        <v>2025</v>
      </c>
      <c r="N8" s="8">
        <v>2026</v>
      </c>
      <c r="O8" s="8" t="s">
        <v>0</v>
      </c>
    </row>
    <row r="9" spans="1:15" x14ac:dyDescent="0.25">
      <c r="B9" s="4">
        <v>26</v>
      </c>
      <c r="C9" s="4">
        <v>33</v>
      </c>
      <c r="D9" s="4">
        <v>25</v>
      </c>
      <c r="E9" s="4">
        <v>42</v>
      </c>
      <c r="F9" s="4">
        <v>46</v>
      </c>
      <c r="G9" s="4">
        <v>70</v>
      </c>
      <c r="H9" s="4">
        <v>31</v>
      </c>
      <c r="I9" s="4">
        <v>64</v>
      </c>
      <c r="J9" s="4">
        <v>98</v>
      </c>
      <c r="K9" s="4">
        <v>136</v>
      </c>
      <c r="L9" s="4">
        <v>109</v>
      </c>
      <c r="M9" s="4">
        <v>120</v>
      </c>
      <c r="N9" s="4">
        <v>69</v>
      </c>
      <c r="O9" s="4">
        <f>SUM(B9:N9)</f>
        <v>869</v>
      </c>
    </row>
  </sheetData>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228C5-7C7E-40AE-916F-776FE765A523}">
  <dimension ref="B1:T16"/>
  <sheetViews>
    <sheetView workbookViewId="0">
      <selection activeCell="T17" sqref="T17"/>
    </sheetView>
  </sheetViews>
  <sheetFormatPr defaultRowHeight="15" x14ac:dyDescent="0.25"/>
  <cols>
    <col min="2" max="2" width="13.7109375" bestFit="1" customWidth="1"/>
  </cols>
  <sheetData>
    <row r="1" spans="2:20" ht="15.75" thickBot="1" x14ac:dyDescent="0.3"/>
    <row r="2" spans="2:20" ht="15.75" thickBot="1" x14ac:dyDescent="0.3">
      <c r="B2" s="62" t="s">
        <v>1</v>
      </c>
      <c r="C2" s="8">
        <v>2014</v>
      </c>
      <c r="D2" s="8">
        <v>2015</v>
      </c>
      <c r="E2" s="8">
        <v>2016</v>
      </c>
      <c r="F2" s="8">
        <v>2017</v>
      </c>
      <c r="G2" s="8">
        <v>2018</v>
      </c>
      <c r="H2" s="8">
        <v>2019</v>
      </c>
      <c r="I2" s="8">
        <v>2020</v>
      </c>
      <c r="J2" s="8">
        <v>2021</v>
      </c>
      <c r="K2" s="8">
        <v>2022</v>
      </c>
      <c r="L2" s="8">
        <v>2023</v>
      </c>
      <c r="M2" s="8">
        <v>2024</v>
      </c>
      <c r="N2" s="8">
        <v>2025</v>
      </c>
      <c r="O2" s="8" t="s">
        <v>0</v>
      </c>
    </row>
    <row r="3" spans="2:20" x14ac:dyDescent="0.25">
      <c r="B3" s="9" t="s">
        <v>2</v>
      </c>
      <c r="C3" s="13">
        <v>23</v>
      </c>
      <c r="D3" s="13">
        <v>25</v>
      </c>
      <c r="E3" s="13">
        <v>18</v>
      </c>
      <c r="F3" s="13">
        <v>29</v>
      </c>
      <c r="G3" s="13">
        <v>29</v>
      </c>
      <c r="H3" s="13">
        <v>55</v>
      </c>
      <c r="I3" s="13">
        <v>17</v>
      </c>
      <c r="J3" s="13">
        <v>37</v>
      </c>
      <c r="K3" s="13">
        <v>84</v>
      </c>
      <c r="L3" s="13">
        <v>103</v>
      </c>
      <c r="M3" s="13">
        <v>95</v>
      </c>
      <c r="N3" s="13"/>
      <c r="O3" s="13">
        <f>SUM(C3:N3)</f>
        <v>515</v>
      </c>
      <c r="P3">
        <f>O3/O6%</f>
        <v>75.735294117647058</v>
      </c>
      <c r="Q3" t="s">
        <v>73</v>
      </c>
    </row>
    <row r="4" spans="2:20" x14ac:dyDescent="0.25">
      <c r="B4" s="10" t="s">
        <v>3</v>
      </c>
      <c r="C4" s="14">
        <v>3</v>
      </c>
      <c r="D4" s="14">
        <v>8</v>
      </c>
      <c r="E4" s="14">
        <v>7</v>
      </c>
      <c r="F4" s="14">
        <v>11</v>
      </c>
      <c r="G4" s="14">
        <v>13</v>
      </c>
      <c r="H4" s="14">
        <v>8</v>
      </c>
      <c r="I4" s="14">
        <v>10</v>
      </c>
      <c r="J4" s="14">
        <v>14</v>
      </c>
      <c r="K4" s="14">
        <v>8</v>
      </c>
      <c r="L4" s="14">
        <v>21</v>
      </c>
      <c r="M4" s="14">
        <v>12</v>
      </c>
      <c r="N4" s="14"/>
      <c r="O4" s="13">
        <f t="shared" ref="O4:O5" si="0">SUM(C4:N4)</f>
        <v>115</v>
      </c>
      <c r="P4">
        <f>O4/O6%</f>
        <v>16.911764705882355</v>
      </c>
      <c r="Q4" t="s">
        <v>73</v>
      </c>
    </row>
    <row r="5" spans="2:20" ht="15.75" thickBot="1" x14ac:dyDescent="0.3">
      <c r="B5" s="11" t="s">
        <v>4</v>
      </c>
      <c r="C5" s="15">
        <v>0</v>
      </c>
      <c r="D5" s="15">
        <v>0</v>
      </c>
      <c r="E5" s="15">
        <v>0</v>
      </c>
      <c r="F5" s="15">
        <v>2</v>
      </c>
      <c r="G5" s="15">
        <v>4</v>
      </c>
      <c r="H5" s="15">
        <v>7</v>
      </c>
      <c r="I5" s="15">
        <v>4</v>
      </c>
      <c r="J5" s="15">
        <v>13</v>
      </c>
      <c r="K5" s="15">
        <v>6</v>
      </c>
      <c r="L5" s="15">
        <v>12</v>
      </c>
      <c r="M5" s="15">
        <v>2</v>
      </c>
      <c r="N5" s="15"/>
      <c r="O5" s="13">
        <f t="shared" si="0"/>
        <v>50</v>
      </c>
      <c r="P5">
        <f>O5/O6%</f>
        <v>7.3529411764705888</v>
      </c>
      <c r="Q5" t="s">
        <v>73</v>
      </c>
    </row>
    <row r="6" spans="2:20" ht="15.75" thickBot="1" x14ac:dyDescent="0.3">
      <c r="B6" s="1" t="s">
        <v>0</v>
      </c>
      <c r="C6" s="16">
        <f>SUM(C3:C5)</f>
        <v>26</v>
      </c>
      <c r="D6" s="16">
        <f t="shared" ref="D6:O6" si="1">SUM(D3:D5)</f>
        <v>33</v>
      </c>
      <c r="E6" s="16">
        <f t="shared" si="1"/>
        <v>25</v>
      </c>
      <c r="F6" s="16">
        <f t="shared" si="1"/>
        <v>42</v>
      </c>
      <c r="G6" s="16">
        <f t="shared" si="1"/>
        <v>46</v>
      </c>
      <c r="H6" s="16">
        <f t="shared" si="1"/>
        <v>70</v>
      </c>
      <c r="I6" s="16">
        <f t="shared" si="1"/>
        <v>31</v>
      </c>
      <c r="J6" s="16">
        <f t="shared" si="1"/>
        <v>64</v>
      </c>
      <c r="K6" s="16">
        <f t="shared" si="1"/>
        <v>98</v>
      </c>
      <c r="L6" s="16">
        <f t="shared" si="1"/>
        <v>136</v>
      </c>
      <c r="M6" s="16">
        <f t="shared" si="1"/>
        <v>109</v>
      </c>
      <c r="N6" s="16">
        <f t="shared" si="1"/>
        <v>0</v>
      </c>
      <c r="O6" s="16">
        <f t="shared" si="1"/>
        <v>680</v>
      </c>
      <c r="P6" s="69">
        <f>SUM(P3:P5)</f>
        <v>100.00000000000001</v>
      </c>
    </row>
    <row r="8" spans="2:20" x14ac:dyDescent="0.25">
      <c r="C8" s="4">
        <v>26</v>
      </c>
      <c r="D8" s="4">
        <v>33</v>
      </c>
      <c r="E8" s="4">
        <v>25</v>
      </c>
      <c r="F8" s="4">
        <v>42</v>
      </c>
      <c r="G8" s="4">
        <v>46</v>
      </c>
      <c r="H8" s="4">
        <v>70</v>
      </c>
      <c r="I8" s="4">
        <v>31</v>
      </c>
      <c r="J8" s="4">
        <v>64</v>
      </c>
      <c r="K8" s="4">
        <v>98</v>
      </c>
      <c r="L8" s="4">
        <v>136</v>
      </c>
      <c r="M8" s="4">
        <v>109</v>
      </c>
      <c r="N8" s="4"/>
    </row>
    <row r="13" spans="2:20" x14ac:dyDescent="0.25">
      <c r="S13">
        <v>95</v>
      </c>
      <c r="T13">
        <f>S13/S16%</f>
        <v>87.155963302752284</v>
      </c>
    </row>
    <row r="14" spans="2:20" x14ac:dyDescent="0.25">
      <c r="S14">
        <v>12</v>
      </c>
      <c r="T14">
        <f>S14/S16%</f>
        <v>11.009174311926605</v>
      </c>
    </row>
    <row r="15" spans="2:20" x14ac:dyDescent="0.25">
      <c r="S15">
        <v>2</v>
      </c>
      <c r="T15">
        <f>S15/S16%</f>
        <v>1.8348623853211008</v>
      </c>
    </row>
    <row r="16" spans="2:20" x14ac:dyDescent="0.25">
      <c r="S16">
        <v>109</v>
      </c>
      <c r="T16">
        <f>SUM(T13:T15)</f>
        <v>99.999999999999986</v>
      </c>
    </row>
  </sheetData>
  <pageMargins left="0.511811024" right="0.511811024" top="0.78740157499999996" bottom="0.78740157499999996" header="0.31496062000000002" footer="0.31496062000000002"/>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4DD54-DE55-45EB-94C7-F00A578DE514}">
  <dimension ref="A1:AI41"/>
  <sheetViews>
    <sheetView workbookViewId="0">
      <pane ySplit="1" topLeftCell="A2" activePane="bottomLeft" state="frozen"/>
      <selection pane="bottomLeft" activeCell="P38" sqref="P38"/>
    </sheetView>
  </sheetViews>
  <sheetFormatPr defaultRowHeight="15" x14ac:dyDescent="0.25"/>
  <cols>
    <col min="15" max="15" width="8.140625" customWidth="1"/>
  </cols>
  <sheetData>
    <row r="1" spans="1:35" ht="15.75" thickBot="1" x14ac:dyDescent="0.3">
      <c r="A1" s="62" t="s">
        <v>32</v>
      </c>
      <c r="B1" s="41">
        <v>2014</v>
      </c>
      <c r="C1" s="42">
        <v>2015</v>
      </c>
      <c r="D1" s="42">
        <v>2016</v>
      </c>
      <c r="E1" s="42">
        <v>2017</v>
      </c>
      <c r="F1" s="42">
        <v>2018</v>
      </c>
      <c r="G1" s="42">
        <v>2019</v>
      </c>
      <c r="H1" s="42">
        <v>2020</v>
      </c>
      <c r="I1" s="42">
        <v>2021</v>
      </c>
      <c r="J1" s="42">
        <v>2022</v>
      </c>
      <c r="K1" s="42">
        <v>2023</v>
      </c>
      <c r="L1" s="42">
        <v>2024</v>
      </c>
      <c r="M1" s="42">
        <v>2025</v>
      </c>
      <c r="N1" s="20" t="s">
        <v>0</v>
      </c>
      <c r="Q1" s="17">
        <v>2014</v>
      </c>
      <c r="R1" s="18">
        <v>2015</v>
      </c>
      <c r="S1" s="19">
        <v>2016</v>
      </c>
      <c r="T1" s="19">
        <v>2017</v>
      </c>
      <c r="U1" s="18">
        <v>2018</v>
      </c>
      <c r="V1" s="18">
        <v>2019</v>
      </c>
      <c r="W1" s="19">
        <v>2020</v>
      </c>
      <c r="X1" s="19">
        <v>2021</v>
      </c>
      <c r="Y1" s="19">
        <v>2022</v>
      </c>
      <c r="Z1" s="19">
        <v>2023</v>
      </c>
      <c r="AA1" s="19">
        <v>2024</v>
      </c>
      <c r="AB1" s="19">
        <v>2025</v>
      </c>
      <c r="AC1" s="20" t="s">
        <v>0</v>
      </c>
    </row>
    <row r="2" spans="1:35" x14ac:dyDescent="0.25">
      <c r="A2" s="45" t="s">
        <v>5</v>
      </c>
      <c r="B2" s="86">
        <v>6</v>
      </c>
      <c r="C2" s="87">
        <v>9</v>
      </c>
      <c r="D2" s="88">
        <v>1</v>
      </c>
      <c r="E2" s="87">
        <v>10</v>
      </c>
      <c r="F2" s="88">
        <v>1</v>
      </c>
      <c r="G2" s="87">
        <v>18</v>
      </c>
      <c r="H2" s="87">
        <v>4</v>
      </c>
      <c r="I2" s="88">
        <v>5</v>
      </c>
      <c r="J2" s="88">
        <v>15</v>
      </c>
      <c r="K2" s="87">
        <v>23</v>
      </c>
      <c r="L2" s="88">
        <v>6</v>
      </c>
      <c r="M2" s="89"/>
      <c r="N2" s="79">
        <f>SUM(B2:M2)</f>
        <v>98</v>
      </c>
      <c r="O2" s="77">
        <f>N2/N29%</f>
        <v>21.53846153846154</v>
      </c>
      <c r="P2" s="21" t="s">
        <v>5</v>
      </c>
      <c r="Q2" s="22">
        <v>6</v>
      </c>
      <c r="R2" s="22">
        <v>9</v>
      </c>
      <c r="S2" s="22">
        <v>2</v>
      </c>
      <c r="T2" s="22">
        <v>10</v>
      </c>
      <c r="U2" s="22">
        <v>1</v>
      </c>
      <c r="V2" s="22">
        <v>17</v>
      </c>
      <c r="W2" s="22">
        <v>4</v>
      </c>
      <c r="X2" s="22">
        <v>5</v>
      </c>
      <c r="Y2" s="22">
        <v>15</v>
      </c>
      <c r="Z2" s="22">
        <v>20</v>
      </c>
      <c r="AA2" s="22">
        <v>6</v>
      </c>
      <c r="AB2" s="22"/>
      <c r="AC2" s="23">
        <f>SUM(Q2:AB2)</f>
        <v>95</v>
      </c>
    </row>
    <row r="3" spans="1:35" ht="15.75" thickBot="1" x14ac:dyDescent="0.3">
      <c r="A3" s="46" t="s">
        <v>6</v>
      </c>
      <c r="B3" s="90">
        <v>4</v>
      </c>
      <c r="C3" s="25">
        <v>3</v>
      </c>
      <c r="D3" s="78">
        <v>5</v>
      </c>
      <c r="E3" s="25">
        <v>2</v>
      </c>
      <c r="F3" s="78">
        <v>5</v>
      </c>
      <c r="G3" s="25">
        <v>5</v>
      </c>
      <c r="H3" s="25">
        <v>2</v>
      </c>
      <c r="I3" s="25">
        <v>1</v>
      </c>
      <c r="J3" s="78">
        <v>16</v>
      </c>
      <c r="K3" s="25">
        <v>17</v>
      </c>
      <c r="L3" s="78">
        <v>22</v>
      </c>
      <c r="M3" s="91"/>
      <c r="N3" s="80">
        <f t="shared" ref="N3:N28" si="0">SUM(B3:M3)</f>
        <v>82</v>
      </c>
      <c r="O3" s="77">
        <f>N3/N29%</f>
        <v>18.021978021978022</v>
      </c>
      <c r="P3" s="24" t="s">
        <v>6</v>
      </c>
      <c r="Q3" s="25">
        <v>3</v>
      </c>
      <c r="R3" s="25">
        <v>3</v>
      </c>
      <c r="S3" s="25">
        <v>5</v>
      </c>
      <c r="T3" s="25">
        <v>2</v>
      </c>
      <c r="U3" s="25">
        <v>4</v>
      </c>
      <c r="V3" s="25">
        <v>5</v>
      </c>
      <c r="W3" s="25">
        <v>2</v>
      </c>
      <c r="X3" s="25">
        <v>1</v>
      </c>
      <c r="Y3" s="25">
        <v>14</v>
      </c>
      <c r="Z3" s="25">
        <v>18</v>
      </c>
      <c r="AA3" s="25">
        <v>23</v>
      </c>
      <c r="AB3" s="25"/>
      <c r="AC3" s="26">
        <f t="shared" ref="AC3:AC28" si="1">SUM(Q3:AB3)</f>
        <v>80</v>
      </c>
    </row>
    <row r="4" spans="1:35" ht="15.75" thickBot="1" x14ac:dyDescent="0.3">
      <c r="A4" s="46" t="s">
        <v>7</v>
      </c>
      <c r="B4" s="90">
        <v>2</v>
      </c>
      <c r="C4" s="25">
        <v>3</v>
      </c>
      <c r="D4" s="25">
        <v>1</v>
      </c>
      <c r="E4" s="25">
        <v>2</v>
      </c>
      <c r="F4" s="25">
        <v>1</v>
      </c>
      <c r="G4" s="25">
        <v>2</v>
      </c>
      <c r="H4" s="25">
        <v>2</v>
      </c>
      <c r="I4" s="78">
        <v>6</v>
      </c>
      <c r="J4" s="25">
        <v>7</v>
      </c>
      <c r="K4" s="25">
        <v>10</v>
      </c>
      <c r="L4" s="25">
        <v>13</v>
      </c>
      <c r="M4" s="91"/>
      <c r="N4" s="80">
        <f t="shared" si="0"/>
        <v>49</v>
      </c>
      <c r="O4" s="77">
        <f>N4/N29%</f>
        <v>10.76923076923077</v>
      </c>
      <c r="P4" s="24" t="s">
        <v>7</v>
      </c>
      <c r="Q4" s="25">
        <v>2</v>
      </c>
      <c r="R4" s="25">
        <v>3</v>
      </c>
      <c r="S4" s="25">
        <v>1</v>
      </c>
      <c r="T4" s="25">
        <v>1</v>
      </c>
      <c r="U4" s="25">
        <v>1</v>
      </c>
      <c r="V4" s="25">
        <v>1</v>
      </c>
      <c r="W4" s="25">
        <v>2</v>
      </c>
      <c r="X4" s="25">
        <v>6</v>
      </c>
      <c r="Y4" s="25">
        <v>7</v>
      </c>
      <c r="Z4" s="25">
        <v>10</v>
      </c>
      <c r="AA4" s="25">
        <v>13</v>
      </c>
      <c r="AB4" s="25"/>
      <c r="AC4" s="26">
        <f t="shared" si="1"/>
        <v>47</v>
      </c>
      <c r="AH4" s="52" t="s">
        <v>35</v>
      </c>
    </row>
    <row r="5" spans="1:35" x14ac:dyDescent="0.25">
      <c r="A5" s="46" t="s">
        <v>8</v>
      </c>
      <c r="B5" s="90">
        <v>2</v>
      </c>
      <c r="C5" s="25"/>
      <c r="D5" s="25"/>
      <c r="E5" s="25">
        <v>3</v>
      </c>
      <c r="F5" s="25">
        <v>4</v>
      </c>
      <c r="G5" s="25">
        <v>6</v>
      </c>
      <c r="H5" s="25">
        <v>1</v>
      </c>
      <c r="I5" s="25">
        <v>1</v>
      </c>
      <c r="J5" s="25">
        <v>4</v>
      </c>
      <c r="K5" s="25">
        <v>6</v>
      </c>
      <c r="L5" s="25">
        <v>5</v>
      </c>
      <c r="M5" s="91"/>
      <c r="N5" s="80">
        <f t="shared" si="0"/>
        <v>32</v>
      </c>
      <c r="O5" s="77">
        <f>N5/N29%</f>
        <v>7.0329670329670328</v>
      </c>
      <c r="P5" s="24" t="s">
        <v>8</v>
      </c>
      <c r="Q5" s="25">
        <v>2</v>
      </c>
      <c r="R5" s="25"/>
      <c r="S5" s="25"/>
      <c r="T5" s="25">
        <v>3</v>
      </c>
      <c r="U5" s="25">
        <v>2</v>
      </c>
      <c r="V5" s="25">
        <v>6</v>
      </c>
      <c r="W5" s="25">
        <v>1</v>
      </c>
      <c r="X5" s="25">
        <v>1</v>
      </c>
      <c r="Y5" s="25">
        <v>4</v>
      </c>
      <c r="Z5" s="25">
        <v>6</v>
      </c>
      <c r="AA5" s="25">
        <v>5</v>
      </c>
      <c r="AB5" s="25"/>
      <c r="AC5" s="26">
        <f t="shared" si="1"/>
        <v>30</v>
      </c>
      <c r="AH5" s="53" t="s">
        <v>36</v>
      </c>
      <c r="AI5" s="54">
        <f>SUM(AC11,AC18,AC24,AC25,AC26,AC27,AC28)</f>
        <v>24</v>
      </c>
    </row>
    <row r="6" spans="1:35" x14ac:dyDescent="0.25">
      <c r="A6" s="47" t="s">
        <v>9</v>
      </c>
      <c r="B6" s="90">
        <v>2</v>
      </c>
      <c r="C6" s="25">
        <v>2</v>
      </c>
      <c r="D6" s="25">
        <v>3</v>
      </c>
      <c r="E6" s="25"/>
      <c r="F6" s="25">
        <v>1</v>
      </c>
      <c r="G6" s="25">
        <v>1</v>
      </c>
      <c r="H6" s="25"/>
      <c r="I6" s="25">
        <v>3</v>
      </c>
      <c r="J6" s="25">
        <v>6</v>
      </c>
      <c r="K6" s="25">
        <v>5</v>
      </c>
      <c r="L6" s="25">
        <v>6</v>
      </c>
      <c r="M6" s="91"/>
      <c r="N6" s="81">
        <f t="shared" si="0"/>
        <v>29</v>
      </c>
      <c r="O6" s="77">
        <f>N6/N29%</f>
        <v>6.3736263736263741</v>
      </c>
      <c r="P6" s="27" t="s">
        <v>9</v>
      </c>
      <c r="Q6" s="25">
        <v>2</v>
      </c>
      <c r="R6" s="25">
        <v>2</v>
      </c>
      <c r="S6" s="25">
        <v>3</v>
      </c>
      <c r="T6" s="25"/>
      <c r="U6" s="25">
        <v>1</v>
      </c>
      <c r="V6" s="25">
        <v>1</v>
      </c>
      <c r="W6" s="25"/>
      <c r="X6" s="25">
        <v>3</v>
      </c>
      <c r="Y6" s="25">
        <v>6</v>
      </c>
      <c r="Z6" s="25">
        <v>5</v>
      </c>
      <c r="AA6" s="25">
        <v>5</v>
      </c>
      <c r="AB6" s="25"/>
      <c r="AC6" s="28">
        <f t="shared" si="1"/>
        <v>28</v>
      </c>
      <c r="AH6" s="55" t="s">
        <v>37</v>
      </c>
      <c r="AI6" s="14">
        <f>SUM(AC9,AC10,AC12,AC13,AC15,AC17,AC21,AC22,AC23)</f>
        <v>65</v>
      </c>
    </row>
    <row r="7" spans="1:35" x14ac:dyDescent="0.25">
      <c r="A7" s="48" t="s">
        <v>10</v>
      </c>
      <c r="B7" s="90">
        <v>1</v>
      </c>
      <c r="C7" s="25"/>
      <c r="D7" s="25">
        <v>1</v>
      </c>
      <c r="E7" s="25">
        <v>1</v>
      </c>
      <c r="F7" s="25"/>
      <c r="G7" s="25">
        <v>3</v>
      </c>
      <c r="H7" s="25">
        <v>1</v>
      </c>
      <c r="I7" s="25">
        <v>5</v>
      </c>
      <c r="J7" s="25">
        <v>6</v>
      </c>
      <c r="K7" s="25">
        <v>5</v>
      </c>
      <c r="L7" s="25">
        <v>5</v>
      </c>
      <c r="M7" s="91"/>
      <c r="N7" s="82">
        <f t="shared" si="0"/>
        <v>28</v>
      </c>
      <c r="O7" s="77">
        <f>N7/N29%</f>
        <v>6.1538461538461542</v>
      </c>
      <c r="P7" s="29" t="s">
        <v>10</v>
      </c>
      <c r="Q7" s="25">
        <v>1</v>
      </c>
      <c r="R7" s="25"/>
      <c r="S7" s="25">
        <v>1</v>
      </c>
      <c r="T7" s="25">
        <v>1</v>
      </c>
      <c r="U7" s="25"/>
      <c r="V7" s="25">
        <v>3</v>
      </c>
      <c r="W7" s="25">
        <v>1</v>
      </c>
      <c r="X7" s="25">
        <v>5</v>
      </c>
      <c r="Y7" s="25">
        <v>6</v>
      </c>
      <c r="Z7" s="25">
        <v>5</v>
      </c>
      <c r="AA7" s="25">
        <v>5</v>
      </c>
      <c r="AB7" s="25"/>
      <c r="AC7" s="30">
        <f t="shared" si="1"/>
        <v>28</v>
      </c>
      <c r="AH7" s="56" t="s">
        <v>38</v>
      </c>
      <c r="AI7" s="14">
        <f>SUM(AC7,AC14,AC16,AC20)</f>
        <v>50</v>
      </c>
    </row>
    <row r="8" spans="1:35" x14ac:dyDescent="0.25">
      <c r="A8" s="47" t="s">
        <v>11</v>
      </c>
      <c r="B8" s="90">
        <v>1</v>
      </c>
      <c r="C8" s="25">
        <v>3</v>
      </c>
      <c r="D8" s="25">
        <v>3</v>
      </c>
      <c r="E8" s="25"/>
      <c r="F8" s="25"/>
      <c r="G8" s="25">
        <v>1</v>
      </c>
      <c r="H8" s="25"/>
      <c r="I8" s="25">
        <v>1</v>
      </c>
      <c r="J8" s="25">
        <v>2</v>
      </c>
      <c r="K8" s="25">
        <v>7</v>
      </c>
      <c r="L8" s="25">
        <v>3</v>
      </c>
      <c r="M8" s="91"/>
      <c r="N8" s="81">
        <f t="shared" si="0"/>
        <v>21</v>
      </c>
      <c r="O8" s="77">
        <f>N8/N29%</f>
        <v>4.6153846153846159</v>
      </c>
      <c r="P8" s="27" t="s">
        <v>11</v>
      </c>
      <c r="Q8" s="25">
        <v>1</v>
      </c>
      <c r="R8" s="25">
        <v>3</v>
      </c>
      <c r="S8" s="25">
        <v>3</v>
      </c>
      <c r="T8" s="25"/>
      <c r="U8" s="25"/>
      <c r="V8" s="25">
        <v>1</v>
      </c>
      <c r="W8" s="25"/>
      <c r="X8" s="25">
        <v>1</v>
      </c>
      <c r="Y8" s="25">
        <v>2</v>
      </c>
      <c r="Z8" s="25">
        <v>8</v>
      </c>
      <c r="AA8" s="25">
        <v>3</v>
      </c>
      <c r="AB8" s="25"/>
      <c r="AC8" s="28">
        <f t="shared" si="1"/>
        <v>22</v>
      </c>
      <c r="AH8" s="57" t="s">
        <v>39</v>
      </c>
      <c r="AI8" s="14">
        <f>SUM(AC3,AC4,AC5,AC19)</f>
        <v>163</v>
      </c>
    </row>
    <row r="9" spans="1:35" x14ac:dyDescent="0.25">
      <c r="A9" s="49" t="s">
        <v>12</v>
      </c>
      <c r="B9" s="90">
        <v>1</v>
      </c>
      <c r="C9" s="25">
        <v>2</v>
      </c>
      <c r="D9" s="25"/>
      <c r="E9" s="25"/>
      <c r="F9" s="25"/>
      <c r="G9" s="25">
        <v>1</v>
      </c>
      <c r="H9" s="25"/>
      <c r="I9" s="25"/>
      <c r="J9" s="25">
        <v>4</v>
      </c>
      <c r="K9" s="25">
        <v>1</v>
      </c>
      <c r="L9" s="25">
        <v>1</v>
      </c>
      <c r="M9" s="91"/>
      <c r="N9" s="83">
        <f t="shared" si="0"/>
        <v>10</v>
      </c>
      <c r="O9" s="77">
        <f>N9/N29%</f>
        <v>2.197802197802198</v>
      </c>
      <c r="P9" s="31" t="s">
        <v>12</v>
      </c>
      <c r="Q9" s="25">
        <v>1</v>
      </c>
      <c r="R9" s="25">
        <v>2</v>
      </c>
      <c r="S9" s="25"/>
      <c r="T9" s="25"/>
      <c r="U9" s="25"/>
      <c r="V9" s="25">
        <v>1</v>
      </c>
      <c r="W9" s="25"/>
      <c r="X9" s="25"/>
      <c r="Y9" s="25">
        <v>4</v>
      </c>
      <c r="Z9" s="25">
        <v>1</v>
      </c>
      <c r="AA9" s="25">
        <v>1</v>
      </c>
      <c r="AB9" s="25"/>
      <c r="AC9" s="32">
        <f t="shared" si="1"/>
        <v>10</v>
      </c>
      <c r="AH9" s="58" t="s">
        <v>40</v>
      </c>
      <c r="AI9" s="14">
        <f>SUM(AC2,AC6,AC8)</f>
        <v>145</v>
      </c>
    </row>
    <row r="10" spans="1:35" ht="15.75" thickBot="1" x14ac:dyDescent="0.3">
      <c r="A10" s="49" t="s">
        <v>13</v>
      </c>
      <c r="B10" s="90"/>
      <c r="C10" s="25"/>
      <c r="D10" s="25">
        <v>1</v>
      </c>
      <c r="E10" s="25">
        <v>1</v>
      </c>
      <c r="F10" s="25">
        <v>1</v>
      </c>
      <c r="G10" s="25">
        <v>1</v>
      </c>
      <c r="H10" s="25">
        <v>1</v>
      </c>
      <c r="I10" s="25"/>
      <c r="J10" s="25">
        <v>1</v>
      </c>
      <c r="K10" s="25">
        <v>2</v>
      </c>
      <c r="L10" s="25">
        <v>2</v>
      </c>
      <c r="M10" s="91"/>
      <c r="N10" s="83">
        <f t="shared" si="0"/>
        <v>10</v>
      </c>
      <c r="O10" s="77">
        <f>N10/N29%</f>
        <v>2.197802197802198</v>
      </c>
      <c r="P10" s="31" t="s">
        <v>13</v>
      </c>
      <c r="Q10" s="25"/>
      <c r="R10" s="25"/>
      <c r="S10" s="25">
        <v>1</v>
      </c>
      <c r="T10" s="25">
        <v>1</v>
      </c>
      <c r="U10" s="25">
        <v>1</v>
      </c>
      <c r="V10" s="25">
        <v>1</v>
      </c>
      <c r="W10" s="25">
        <v>1</v>
      </c>
      <c r="X10" s="25"/>
      <c r="Y10" s="25">
        <v>1</v>
      </c>
      <c r="Z10" s="25">
        <v>2</v>
      </c>
      <c r="AA10" s="25">
        <v>2</v>
      </c>
      <c r="AB10" s="25"/>
      <c r="AC10" s="32">
        <f t="shared" si="1"/>
        <v>10</v>
      </c>
      <c r="AH10" s="59" t="s">
        <v>0</v>
      </c>
      <c r="AI10" s="60">
        <f>SUM(AI5:AI9)</f>
        <v>447</v>
      </c>
    </row>
    <row r="11" spans="1:35" x14ac:dyDescent="0.25">
      <c r="A11" s="50" t="s">
        <v>14</v>
      </c>
      <c r="B11" s="90"/>
      <c r="C11" s="25"/>
      <c r="D11" s="25"/>
      <c r="E11" s="25">
        <v>1</v>
      </c>
      <c r="F11" s="25">
        <v>1</v>
      </c>
      <c r="G11" s="25">
        <v>2</v>
      </c>
      <c r="H11" s="25"/>
      <c r="I11" s="25">
        <v>1</v>
      </c>
      <c r="J11" s="25">
        <v>1</v>
      </c>
      <c r="K11" s="25">
        <v>2</v>
      </c>
      <c r="L11" s="25">
        <v>2</v>
      </c>
      <c r="M11" s="91"/>
      <c r="N11" s="84">
        <f t="shared" si="0"/>
        <v>10</v>
      </c>
      <c r="O11" s="77">
        <f>N11/N29%</f>
        <v>2.197802197802198</v>
      </c>
      <c r="P11" s="33" t="s">
        <v>14</v>
      </c>
      <c r="Q11" s="25"/>
      <c r="R11" s="25"/>
      <c r="S11" s="25"/>
      <c r="T11" s="25">
        <v>1</v>
      </c>
      <c r="U11" s="25">
        <v>1</v>
      </c>
      <c r="V11" s="25">
        <v>2</v>
      </c>
      <c r="W11" s="25"/>
      <c r="X11" s="25">
        <v>1</v>
      </c>
      <c r="Y11" s="25">
        <v>1</v>
      </c>
      <c r="Z11" s="25">
        <v>2</v>
      </c>
      <c r="AA11" s="25">
        <v>2</v>
      </c>
      <c r="AB11" s="25"/>
      <c r="AC11" s="34">
        <f t="shared" si="1"/>
        <v>10</v>
      </c>
    </row>
    <row r="12" spans="1:35" x14ac:dyDescent="0.25">
      <c r="A12" s="49" t="s">
        <v>15</v>
      </c>
      <c r="B12" s="90"/>
      <c r="C12" s="25"/>
      <c r="D12" s="25"/>
      <c r="E12" s="25">
        <v>3</v>
      </c>
      <c r="F12" s="25">
        <v>1</v>
      </c>
      <c r="G12" s="25"/>
      <c r="H12" s="25"/>
      <c r="I12" s="25"/>
      <c r="J12" s="25">
        <v>2</v>
      </c>
      <c r="K12" s="25">
        <v>3</v>
      </c>
      <c r="L12" s="25">
        <v>2</v>
      </c>
      <c r="M12" s="91"/>
      <c r="N12" s="83">
        <f t="shared" si="0"/>
        <v>11</v>
      </c>
      <c r="O12" s="77">
        <f>N12/N29%</f>
        <v>2.4175824175824179</v>
      </c>
      <c r="P12" s="31" t="s">
        <v>15</v>
      </c>
      <c r="Q12" s="25"/>
      <c r="R12" s="25"/>
      <c r="S12" s="25"/>
      <c r="T12" s="25">
        <v>3</v>
      </c>
      <c r="U12" s="25"/>
      <c r="V12" s="25"/>
      <c r="W12" s="25"/>
      <c r="X12" s="25"/>
      <c r="Y12" s="25">
        <v>2</v>
      </c>
      <c r="Z12" s="25">
        <v>3</v>
      </c>
      <c r="AA12" s="25">
        <v>2</v>
      </c>
      <c r="AB12" s="25"/>
      <c r="AC12" s="32">
        <f t="shared" si="1"/>
        <v>10</v>
      </c>
    </row>
    <row r="13" spans="1:35" x14ac:dyDescent="0.25">
      <c r="A13" s="49" t="s">
        <v>16</v>
      </c>
      <c r="B13" s="90"/>
      <c r="C13" s="25">
        <v>1</v>
      </c>
      <c r="D13" s="25">
        <v>1</v>
      </c>
      <c r="E13" s="25"/>
      <c r="F13" s="25"/>
      <c r="G13" s="25">
        <v>2</v>
      </c>
      <c r="H13" s="25"/>
      <c r="I13" s="25">
        <v>1</v>
      </c>
      <c r="J13" s="25">
        <v>3</v>
      </c>
      <c r="K13" s="25"/>
      <c r="L13" s="25">
        <v>1</v>
      </c>
      <c r="M13" s="91"/>
      <c r="N13" s="83">
        <f t="shared" si="0"/>
        <v>9</v>
      </c>
      <c r="O13" s="77">
        <f>N13/N29%</f>
        <v>1.9780219780219781</v>
      </c>
      <c r="P13" s="31" t="s">
        <v>16</v>
      </c>
      <c r="Q13" s="25"/>
      <c r="R13" s="25">
        <v>1</v>
      </c>
      <c r="S13" s="25">
        <v>1</v>
      </c>
      <c r="T13" s="25"/>
      <c r="U13" s="25"/>
      <c r="V13" s="25">
        <v>2</v>
      </c>
      <c r="W13" s="25"/>
      <c r="X13" s="25">
        <v>1</v>
      </c>
      <c r="Y13" s="25">
        <v>3</v>
      </c>
      <c r="Z13" s="25"/>
      <c r="AA13" s="25">
        <v>1</v>
      </c>
      <c r="AB13" s="25"/>
      <c r="AC13" s="32">
        <f t="shared" si="1"/>
        <v>9</v>
      </c>
    </row>
    <row r="14" spans="1:35" x14ac:dyDescent="0.25">
      <c r="A14" s="48" t="s">
        <v>17</v>
      </c>
      <c r="B14" s="90"/>
      <c r="C14" s="25">
        <v>1</v>
      </c>
      <c r="D14" s="25"/>
      <c r="E14" s="25">
        <v>1</v>
      </c>
      <c r="F14" s="25"/>
      <c r="G14" s="25">
        <v>1</v>
      </c>
      <c r="H14" s="25"/>
      <c r="I14" s="25"/>
      <c r="J14" s="25"/>
      <c r="K14" s="25">
        <v>1</v>
      </c>
      <c r="L14" s="25">
        <v>5</v>
      </c>
      <c r="M14" s="91"/>
      <c r="N14" s="82">
        <f t="shared" si="0"/>
        <v>9</v>
      </c>
      <c r="O14" s="77">
        <f>N14/N29%</f>
        <v>1.9780219780219781</v>
      </c>
      <c r="P14" s="29" t="s">
        <v>17</v>
      </c>
      <c r="Q14" s="25"/>
      <c r="R14" s="25">
        <v>1</v>
      </c>
      <c r="S14" s="25"/>
      <c r="T14" s="25">
        <v>1</v>
      </c>
      <c r="U14" s="25"/>
      <c r="V14" s="25">
        <v>1</v>
      </c>
      <c r="W14" s="25"/>
      <c r="X14" s="25"/>
      <c r="Y14" s="25"/>
      <c r="Z14" s="25">
        <v>1</v>
      </c>
      <c r="AA14" s="25">
        <v>5</v>
      </c>
      <c r="AB14" s="25"/>
      <c r="AC14" s="30">
        <f t="shared" si="1"/>
        <v>9</v>
      </c>
    </row>
    <row r="15" spans="1:35" x14ac:dyDescent="0.25">
      <c r="A15" s="49" t="s">
        <v>18</v>
      </c>
      <c r="B15" s="90"/>
      <c r="C15" s="25"/>
      <c r="D15" s="25"/>
      <c r="E15" s="25"/>
      <c r="F15" s="25"/>
      <c r="G15" s="25">
        <v>3</v>
      </c>
      <c r="H15" s="25"/>
      <c r="I15" s="25">
        <v>2</v>
      </c>
      <c r="J15" s="25"/>
      <c r="K15" s="25">
        <v>2</v>
      </c>
      <c r="L15" s="25">
        <v>1</v>
      </c>
      <c r="M15" s="91"/>
      <c r="N15" s="83">
        <f t="shared" si="0"/>
        <v>8</v>
      </c>
      <c r="O15" s="77">
        <f>N15/N29%</f>
        <v>1.7582417582417582</v>
      </c>
      <c r="P15" s="31" t="s">
        <v>18</v>
      </c>
      <c r="Q15" s="25"/>
      <c r="R15" s="25"/>
      <c r="S15" s="25"/>
      <c r="T15" s="25"/>
      <c r="U15" s="25"/>
      <c r="V15" s="25">
        <v>3</v>
      </c>
      <c r="W15" s="25"/>
      <c r="X15" s="25">
        <v>2</v>
      </c>
      <c r="Y15" s="25"/>
      <c r="Z15" s="25">
        <v>2</v>
      </c>
      <c r="AA15" s="25">
        <v>1</v>
      </c>
      <c r="AB15" s="25"/>
      <c r="AC15" s="32">
        <f t="shared" si="1"/>
        <v>8</v>
      </c>
    </row>
    <row r="16" spans="1:35" x14ac:dyDescent="0.25">
      <c r="A16" s="48" t="s">
        <v>19</v>
      </c>
      <c r="B16" s="90"/>
      <c r="C16" s="25"/>
      <c r="D16" s="25"/>
      <c r="E16" s="25"/>
      <c r="F16" s="25">
        <v>2</v>
      </c>
      <c r="G16" s="25"/>
      <c r="H16" s="25"/>
      <c r="I16" s="25">
        <v>1</v>
      </c>
      <c r="J16" s="25">
        <v>1</v>
      </c>
      <c r="K16" s="25">
        <v>1</v>
      </c>
      <c r="L16" s="25">
        <v>2</v>
      </c>
      <c r="M16" s="91"/>
      <c r="N16" s="82">
        <f t="shared" si="0"/>
        <v>7</v>
      </c>
      <c r="O16" s="77">
        <f>N16/N29%</f>
        <v>1.5384615384615385</v>
      </c>
      <c r="P16" s="29" t="s">
        <v>19</v>
      </c>
      <c r="Q16" s="25"/>
      <c r="R16" s="25"/>
      <c r="S16" s="25"/>
      <c r="T16" s="25"/>
      <c r="U16" s="25">
        <v>2</v>
      </c>
      <c r="V16" s="25"/>
      <c r="W16" s="25"/>
      <c r="X16" s="25">
        <v>1</v>
      </c>
      <c r="Y16" s="25">
        <v>1</v>
      </c>
      <c r="Z16" s="25">
        <v>1</v>
      </c>
      <c r="AA16" s="25">
        <v>2</v>
      </c>
      <c r="AB16" s="25"/>
      <c r="AC16" s="30">
        <f t="shared" si="1"/>
        <v>7</v>
      </c>
    </row>
    <row r="17" spans="1:33" x14ac:dyDescent="0.25">
      <c r="A17" s="49" t="s">
        <v>20</v>
      </c>
      <c r="B17" s="90"/>
      <c r="C17" s="25"/>
      <c r="D17" s="25"/>
      <c r="E17" s="25"/>
      <c r="F17" s="25"/>
      <c r="G17" s="25">
        <v>1</v>
      </c>
      <c r="H17" s="25">
        <v>1</v>
      </c>
      <c r="I17" s="25">
        <v>1</v>
      </c>
      <c r="J17" s="25">
        <v>1</v>
      </c>
      <c r="K17" s="25">
        <v>1</v>
      </c>
      <c r="L17" s="25">
        <v>1</v>
      </c>
      <c r="M17" s="91"/>
      <c r="N17" s="83">
        <f t="shared" si="0"/>
        <v>6</v>
      </c>
      <c r="O17" s="77">
        <f>N17/N29%</f>
        <v>1.3186813186813187</v>
      </c>
      <c r="P17" s="31" t="s">
        <v>20</v>
      </c>
      <c r="Q17" s="25"/>
      <c r="R17" s="25"/>
      <c r="S17" s="25"/>
      <c r="T17" s="25"/>
      <c r="U17" s="25"/>
      <c r="V17" s="25">
        <v>1</v>
      </c>
      <c r="W17" s="25">
        <v>1</v>
      </c>
      <c r="X17" s="25">
        <v>1</v>
      </c>
      <c r="Y17" s="25">
        <v>1</v>
      </c>
      <c r="Z17" s="25">
        <v>1</v>
      </c>
      <c r="AA17" s="25">
        <v>1</v>
      </c>
      <c r="AB17" s="25"/>
      <c r="AC17" s="32">
        <f t="shared" si="1"/>
        <v>6</v>
      </c>
    </row>
    <row r="18" spans="1:33" x14ac:dyDescent="0.25">
      <c r="A18" s="50" t="s">
        <v>21</v>
      </c>
      <c r="B18" s="90"/>
      <c r="C18" s="25"/>
      <c r="D18" s="25"/>
      <c r="E18" s="25"/>
      <c r="F18" s="25">
        <v>1</v>
      </c>
      <c r="G18" s="25"/>
      <c r="H18" s="25">
        <v>1</v>
      </c>
      <c r="I18" s="25"/>
      <c r="J18" s="25">
        <v>1</v>
      </c>
      <c r="K18" s="25">
        <v>1</v>
      </c>
      <c r="L18" s="25">
        <v>1</v>
      </c>
      <c r="M18" s="91"/>
      <c r="N18" s="84">
        <f t="shared" si="0"/>
        <v>5</v>
      </c>
      <c r="O18" s="77">
        <f>N18/N29%</f>
        <v>1.098901098901099</v>
      </c>
      <c r="P18" s="33" t="s">
        <v>21</v>
      </c>
      <c r="Q18" s="25"/>
      <c r="R18" s="25"/>
      <c r="S18" s="25"/>
      <c r="T18" s="25">
        <v>1</v>
      </c>
      <c r="U18" s="25">
        <v>1</v>
      </c>
      <c r="V18" s="25"/>
      <c r="W18" s="25">
        <v>1</v>
      </c>
      <c r="X18" s="25"/>
      <c r="Y18" s="25">
        <v>1</v>
      </c>
      <c r="Z18" s="25">
        <v>1</v>
      </c>
      <c r="AA18" s="25">
        <v>1</v>
      </c>
      <c r="AB18" s="25"/>
      <c r="AC18" s="34">
        <f t="shared" si="1"/>
        <v>6</v>
      </c>
    </row>
    <row r="19" spans="1:33" x14ac:dyDescent="0.25">
      <c r="A19" s="46" t="s">
        <v>22</v>
      </c>
      <c r="B19" s="90">
        <v>1</v>
      </c>
      <c r="C19" s="25"/>
      <c r="D19" s="25"/>
      <c r="E19" s="25"/>
      <c r="F19" s="25"/>
      <c r="G19" s="25"/>
      <c r="H19" s="25"/>
      <c r="I19" s="25">
        <v>1</v>
      </c>
      <c r="J19" s="25">
        <v>2</v>
      </c>
      <c r="K19" s="25">
        <v>1</v>
      </c>
      <c r="L19" s="25">
        <v>1</v>
      </c>
      <c r="M19" s="91"/>
      <c r="N19" s="80">
        <f t="shared" si="0"/>
        <v>6</v>
      </c>
      <c r="O19" s="77">
        <f>N19/N29%</f>
        <v>1.3186813186813187</v>
      </c>
      <c r="P19" s="24" t="s">
        <v>22</v>
      </c>
      <c r="Q19" s="25">
        <v>1</v>
      </c>
      <c r="R19" s="25"/>
      <c r="S19" s="25"/>
      <c r="T19" s="25"/>
      <c r="U19" s="25"/>
      <c r="V19" s="25"/>
      <c r="W19" s="25"/>
      <c r="X19" s="25">
        <v>1</v>
      </c>
      <c r="Y19" s="25">
        <v>2</v>
      </c>
      <c r="Z19" s="25">
        <v>1</v>
      </c>
      <c r="AA19" s="25">
        <v>1</v>
      </c>
      <c r="AB19" s="25"/>
      <c r="AC19" s="26">
        <f t="shared" si="1"/>
        <v>6</v>
      </c>
    </row>
    <row r="20" spans="1:33" x14ac:dyDescent="0.25">
      <c r="A20" s="48" t="s">
        <v>23</v>
      </c>
      <c r="B20" s="90"/>
      <c r="C20" s="25"/>
      <c r="D20" s="25"/>
      <c r="E20" s="25"/>
      <c r="F20" s="25"/>
      <c r="G20" s="25">
        <v>1</v>
      </c>
      <c r="H20" s="25"/>
      <c r="I20" s="25">
        <v>1</v>
      </c>
      <c r="J20" s="25"/>
      <c r="K20" s="25">
        <v>1</v>
      </c>
      <c r="L20" s="25">
        <v>3</v>
      </c>
      <c r="M20" s="91"/>
      <c r="N20" s="82">
        <f t="shared" si="0"/>
        <v>6</v>
      </c>
      <c r="O20" s="77">
        <f>N20/N29%</f>
        <v>1.3186813186813187</v>
      </c>
      <c r="P20" s="29" t="s">
        <v>23</v>
      </c>
      <c r="Q20" s="25"/>
      <c r="R20" s="25"/>
      <c r="S20" s="25"/>
      <c r="T20" s="25"/>
      <c r="U20" s="25"/>
      <c r="V20" s="25">
        <v>1</v>
      </c>
      <c r="W20" s="25"/>
      <c r="X20" s="25">
        <v>1</v>
      </c>
      <c r="Y20" s="25"/>
      <c r="Z20" s="25">
        <v>1</v>
      </c>
      <c r="AA20" s="25">
        <v>3</v>
      </c>
      <c r="AB20" s="25"/>
      <c r="AC20" s="30">
        <f t="shared" si="1"/>
        <v>6</v>
      </c>
    </row>
    <row r="21" spans="1:33" x14ac:dyDescent="0.25">
      <c r="A21" s="49" t="s">
        <v>24</v>
      </c>
      <c r="B21" s="90">
        <v>1</v>
      </c>
      <c r="C21" s="25"/>
      <c r="D21" s="25"/>
      <c r="E21" s="25"/>
      <c r="F21" s="25"/>
      <c r="G21" s="25">
        <v>1</v>
      </c>
      <c r="H21" s="25">
        <v>1</v>
      </c>
      <c r="I21" s="25">
        <v>1</v>
      </c>
      <c r="J21" s="25">
        <v>1</v>
      </c>
      <c r="K21" s="25"/>
      <c r="L21" s="25"/>
      <c r="M21" s="91"/>
      <c r="N21" s="83">
        <f t="shared" si="0"/>
        <v>5</v>
      </c>
      <c r="O21" s="77">
        <f>N21/N29%</f>
        <v>1.098901098901099</v>
      </c>
      <c r="P21" s="31" t="s">
        <v>24</v>
      </c>
      <c r="Q21" s="25">
        <v>1</v>
      </c>
      <c r="R21" s="25"/>
      <c r="S21" s="25"/>
      <c r="T21" s="25"/>
      <c r="U21" s="25"/>
      <c r="V21" s="25">
        <v>1</v>
      </c>
      <c r="W21" s="25">
        <v>1</v>
      </c>
      <c r="X21" s="25">
        <v>1</v>
      </c>
      <c r="Y21" s="25">
        <v>1</v>
      </c>
      <c r="Z21" s="25"/>
      <c r="AA21" s="25"/>
      <c r="AB21" s="25"/>
      <c r="AC21" s="32">
        <f t="shared" si="1"/>
        <v>5</v>
      </c>
    </row>
    <row r="22" spans="1:33" x14ac:dyDescent="0.25">
      <c r="A22" s="49" t="s">
        <v>25</v>
      </c>
      <c r="B22" s="90"/>
      <c r="C22" s="25"/>
      <c r="D22" s="25"/>
      <c r="E22" s="25">
        <v>1</v>
      </c>
      <c r="F22" s="25"/>
      <c r="G22" s="25"/>
      <c r="H22" s="25"/>
      <c r="I22" s="25"/>
      <c r="J22" s="25">
        <v>1</v>
      </c>
      <c r="K22" s="25">
        <v>1</v>
      </c>
      <c r="L22" s="25">
        <v>1</v>
      </c>
      <c r="M22" s="91"/>
      <c r="N22" s="83">
        <f t="shared" si="0"/>
        <v>4</v>
      </c>
      <c r="O22" s="77">
        <f>N22/N29%</f>
        <v>0.87912087912087911</v>
      </c>
      <c r="P22" s="31" t="s">
        <v>25</v>
      </c>
      <c r="Q22" s="25"/>
      <c r="R22" s="25"/>
      <c r="S22" s="25"/>
      <c r="T22" s="25">
        <v>1</v>
      </c>
      <c r="U22" s="25"/>
      <c r="V22" s="25"/>
      <c r="W22" s="25"/>
      <c r="X22" s="25"/>
      <c r="Y22" s="25">
        <v>1</v>
      </c>
      <c r="Z22" s="25">
        <v>1</v>
      </c>
      <c r="AA22" s="25">
        <v>1</v>
      </c>
      <c r="AB22" s="25"/>
      <c r="AC22" s="32">
        <f t="shared" si="1"/>
        <v>4</v>
      </c>
    </row>
    <row r="23" spans="1:33" x14ac:dyDescent="0.25">
      <c r="A23" s="49" t="s">
        <v>26</v>
      </c>
      <c r="B23" s="90">
        <v>1</v>
      </c>
      <c r="C23" s="25"/>
      <c r="D23" s="25"/>
      <c r="E23" s="25"/>
      <c r="F23" s="25"/>
      <c r="G23" s="25"/>
      <c r="H23" s="25">
        <v>1</v>
      </c>
      <c r="I23" s="25"/>
      <c r="J23" s="25"/>
      <c r="K23" s="25">
        <v>1</v>
      </c>
      <c r="L23" s="25"/>
      <c r="M23" s="91"/>
      <c r="N23" s="83">
        <f t="shared" si="0"/>
        <v>3</v>
      </c>
      <c r="O23" s="77">
        <f>N23/N29%</f>
        <v>0.65934065934065933</v>
      </c>
      <c r="P23" s="31" t="s">
        <v>26</v>
      </c>
      <c r="Q23" s="25">
        <v>1</v>
      </c>
      <c r="R23" s="25"/>
      <c r="S23" s="25"/>
      <c r="T23" s="25"/>
      <c r="U23" s="25"/>
      <c r="V23" s="25"/>
      <c r="W23" s="25">
        <v>1</v>
      </c>
      <c r="X23" s="25"/>
      <c r="Y23" s="25"/>
      <c r="Z23" s="25">
        <v>1</v>
      </c>
      <c r="AA23" s="25"/>
      <c r="AB23" s="25"/>
      <c r="AC23" s="32">
        <f t="shared" si="1"/>
        <v>3</v>
      </c>
    </row>
    <row r="24" spans="1:33" x14ac:dyDescent="0.25">
      <c r="A24" s="50" t="s">
        <v>27</v>
      </c>
      <c r="B24" s="90"/>
      <c r="C24" s="25"/>
      <c r="D24" s="25">
        <v>1</v>
      </c>
      <c r="E24" s="25"/>
      <c r="F24" s="25"/>
      <c r="G24" s="25">
        <v>1</v>
      </c>
      <c r="H24" s="25"/>
      <c r="I24" s="25"/>
      <c r="J24" s="25"/>
      <c r="K24" s="25"/>
      <c r="L24" s="25"/>
      <c r="M24" s="91"/>
      <c r="N24" s="84">
        <f t="shared" si="0"/>
        <v>2</v>
      </c>
      <c r="O24" s="77">
        <f>N24/N29%</f>
        <v>0.43956043956043955</v>
      </c>
      <c r="P24" s="33" t="s">
        <v>27</v>
      </c>
      <c r="Q24" s="25"/>
      <c r="R24" s="25"/>
      <c r="S24" s="25">
        <v>1</v>
      </c>
      <c r="T24" s="25"/>
      <c r="U24" s="25"/>
      <c r="V24" s="25">
        <v>1</v>
      </c>
      <c r="W24" s="25"/>
      <c r="X24" s="25"/>
      <c r="Y24" s="25"/>
      <c r="Z24" s="25"/>
      <c r="AA24" s="25"/>
      <c r="AB24" s="25"/>
      <c r="AC24" s="34">
        <f t="shared" si="1"/>
        <v>2</v>
      </c>
    </row>
    <row r="25" spans="1:33" x14ac:dyDescent="0.25">
      <c r="A25" s="50" t="s">
        <v>28</v>
      </c>
      <c r="B25" s="90"/>
      <c r="C25" s="25">
        <v>1</v>
      </c>
      <c r="D25" s="25"/>
      <c r="E25" s="25"/>
      <c r="F25" s="25">
        <v>1</v>
      </c>
      <c r="G25" s="25"/>
      <c r="H25" s="25"/>
      <c r="I25" s="25"/>
      <c r="J25" s="25"/>
      <c r="K25" s="25"/>
      <c r="L25" s="25"/>
      <c r="M25" s="91"/>
      <c r="N25" s="84">
        <f t="shared" si="0"/>
        <v>2</v>
      </c>
      <c r="O25" s="77">
        <f>N25/N29%</f>
        <v>0.43956043956043955</v>
      </c>
      <c r="P25" s="33" t="s">
        <v>28</v>
      </c>
      <c r="Q25" s="25"/>
      <c r="R25" s="25">
        <v>1</v>
      </c>
      <c r="S25" s="25"/>
      <c r="T25" s="25"/>
      <c r="U25" s="25">
        <v>1</v>
      </c>
      <c r="V25" s="25"/>
      <c r="W25" s="25"/>
      <c r="X25" s="25"/>
      <c r="Y25" s="25"/>
      <c r="Z25" s="25"/>
      <c r="AA25" s="25"/>
      <c r="AB25" s="25"/>
      <c r="AC25" s="34">
        <f t="shared" si="1"/>
        <v>2</v>
      </c>
    </row>
    <row r="26" spans="1:33" x14ac:dyDescent="0.25">
      <c r="A26" s="50" t="s">
        <v>29</v>
      </c>
      <c r="B26" s="90"/>
      <c r="C26" s="25"/>
      <c r="D26" s="25"/>
      <c r="E26" s="25"/>
      <c r="F26" s="25">
        <v>1</v>
      </c>
      <c r="G26" s="25"/>
      <c r="H26" s="25"/>
      <c r="I26" s="25">
        <v>1</v>
      </c>
      <c r="J26" s="25"/>
      <c r="K26" s="25"/>
      <c r="L26" s="25"/>
      <c r="M26" s="91"/>
      <c r="N26" s="84">
        <f t="shared" si="0"/>
        <v>2</v>
      </c>
      <c r="O26" s="77">
        <f>N26/N29%</f>
        <v>0.43956043956043955</v>
      </c>
      <c r="P26" s="33" t="s">
        <v>29</v>
      </c>
      <c r="Q26" s="25"/>
      <c r="R26" s="25"/>
      <c r="S26" s="25"/>
      <c r="T26" s="25"/>
      <c r="U26" s="25">
        <v>1</v>
      </c>
      <c r="V26" s="25"/>
      <c r="W26" s="25"/>
      <c r="X26" s="25">
        <v>1</v>
      </c>
      <c r="Y26" s="25"/>
      <c r="Z26" s="25"/>
      <c r="AA26" s="25"/>
      <c r="AB26" s="25"/>
      <c r="AC26" s="34">
        <f t="shared" si="1"/>
        <v>2</v>
      </c>
    </row>
    <row r="27" spans="1:33" x14ac:dyDescent="0.25">
      <c r="A27" s="50" t="s">
        <v>30</v>
      </c>
      <c r="B27" s="90"/>
      <c r="C27" s="25"/>
      <c r="D27" s="25"/>
      <c r="E27" s="25"/>
      <c r="F27" s="25"/>
      <c r="G27" s="25"/>
      <c r="H27" s="25"/>
      <c r="I27" s="25">
        <v>1</v>
      </c>
      <c r="J27" s="25"/>
      <c r="K27" s="25"/>
      <c r="L27" s="25"/>
      <c r="M27" s="91"/>
      <c r="N27" s="84">
        <f t="shared" si="0"/>
        <v>1</v>
      </c>
      <c r="O27" s="77">
        <f>N27/N29%</f>
        <v>0.21978021978021978</v>
      </c>
      <c r="P27" s="33" t="s">
        <v>30</v>
      </c>
      <c r="Q27" s="25"/>
      <c r="R27" s="25"/>
      <c r="S27" s="25"/>
      <c r="T27" s="25"/>
      <c r="U27" s="25"/>
      <c r="V27" s="25"/>
      <c r="W27" s="25"/>
      <c r="X27" s="25">
        <v>1</v>
      </c>
      <c r="Y27" s="25"/>
      <c r="Z27" s="25"/>
      <c r="AA27" s="25"/>
      <c r="AB27" s="25"/>
      <c r="AC27" s="34">
        <f t="shared" si="1"/>
        <v>1</v>
      </c>
    </row>
    <row r="28" spans="1:33" ht="15.75" thickBot="1" x14ac:dyDescent="0.3">
      <c r="A28" s="51" t="s">
        <v>31</v>
      </c>
      <c r="B28" s="92"/>
      <c r="C28" s="93"/>
      <c r="D28" s="93"/>
      <c r="E28" s="93"/>
      <c r="F28" s="93"/>
      <c r="G28" s="93"/>
      <c r="H28" s="93"/>
      <c r="I28" s="93"/>
      <c r="J28" s="93"/>
      <c r="K28" s="93"/>
      <c r="L28" s="93"/>
      <c r="M28" s="94"/>
      <c r="N28" s="85">
        <f t="shared" si="0"/>
        <v>0</v>
      </c>
      <c r="O28" s="77">
        <f>N28/N29%</f>
        <v>0</v>
      </c>
      <c r="P28" s="35" t="s">
        <v>31</v>
      </c>
      <c r="Q28" s="36"/>
      <c r="R28" s="36"/>
      <c r="S28" s="36"/>
      <c r="T28" s="36"/>
      <c r="U28" s="36"/>
      <c r="V28" s="36"/>
      <c r="W28" s="36"/>
      <c r="X28" s="36"/>
      <c r="Y28" s="36"/>
      <c r="Z28" s="36">
        <v>1</v>
      </c>
      <c r="AA28" s="36"/>
      <c r="AB28" s="36"/>
      <c r="AC28" s="37">
        <f t="shared" si="1"/>
        <v>1</v>
      </c>
    </row>
    <row r="29" spans="1:33" ht="15.75" thickBot="1" x14ac:dyDescent="0.3">
      <c r="A29" s="61" t="s">
        <v>43</v>
      </c>
      <c r="B29" s="38">
        <f>SUM(B2:B28)</f>
        <v>22</v>
      </c>
      <c r="C29" s="39">
        <f t="shared" ref="C29:N29" si="2">SUM(C2:C28)</f>
        <v>25</v>
      </c>
      <c r="D29" s="39">
        <f t="shared" si="2"/>
        <v>17</v>
      </c>
      <c r="E29" s="39">
        <f t="shared" si="2"/>
        <v>25</v>
      </c>
      <c r="F29" s="39">
        <f t="shared" si="2"/>
        <v>20</v>
      </c>
      <c r="G29" s="39">
        <f t="shared" si="2"/>
        <v>50</v>
      </c>
      <c r="H29" s="39">
        <f t="shared" si="2"/>
        <v>15</v>
      </c>
      <c r="I29" s="39">
        <f t="shared" si="2"/>
        <v>33</v>
      </c>
      <c r="J29" s="39">
        <f t="shared" si="2"/>
        <v>74</v>
      </c>
      <c r="K29" s="39">
        <f t="shared" si="2"/>
        <v>91</v>
      </c>
      <c r="L29" s="39">
        <f t="shared" si="2"/>
        <v>83</v>
      </c>
      <c r="M29" s="39">
        <f t="shared" si="2"/>
        <v>0</v>
      </c>
      <c r="N29" s="40">
        <f t="shared" si="2"/>
        <v>455</v>
      </c>
      <c r="O29" s="76">
        <f>SUM(O2:O28)</f>
        <v>99.999999999999986</v>
      </c>
      <c r="Q29" s="38">
        <f>SUM(Q2:Q28)</f>
        <v>21</v>
      </c>
      <c r="R29" s="39">
        <f t="shared" ref="R29:AC29" si="3">SUM(R2:R28)</f>
        <v>25</v>
      </c>
      <c r="S29" s="39">
        <f t="shared" si="3"/>
        <v>18</v>
      </c>
      <c r="T29" s="39">
        <f t="shared" si="3"/>
        <v>25</v>
      </c>
      <c r="U29" s="39">
        <f t="shared" si="3"/>
        <v>16</v>
      </c>
      <c r="V29" s="39">
        <f t="shared" si="3"/>
        <v>48</v>
      </c>
      <c r="W29" s="39">
        <f t="shared" si="3"/>
        <v>15</v>
      </c>
      <c r="X29" s="39">
        <f t="shared" si="3"/>
        <v>33</v>
      </c>
      <c r="Y29" s="39">
        <f t="shared" si="3"/>
        <v>72</v>
      </c>
      <c r="Z29" s="39">
        <f t="shared" si="3"/>
        <v>91</v>
      </c>
      <c r="AA29" s="39">
        <f t="shared" si="3"/>
        <v>83</v>
      </c>
      <c r="AB29" s="39">
        <f t="shared" si="3"/>
        <v>0</v>
      </c>
      <c r="AC29" s="40">
        <f t="shared" si="3"/>
        <v>447</v>
      </c>
      <c r="AD29" s="1"/>
      <c r="AG29">
        <f>SUM(AA2,AA3,AA4,AA5,AA6,AA7,AA8,AA9,AA10,AA11,AA12,AA13,AA14,AA15,AA16,AA17,AA18,AA19,AA20,AA22)</f>
        <v>83</v>
      </c>
    </row>
    <row r="30" spans="1:33" x14ac:dyDescent="0.25">
      <c r="AC30" s="44"/>
    </row>
    <row r="31" spans="1:33" x14ac:dyDescent="0.25">
      <c r="A31" s="44" t="s">
        <v>34</v>
      </c>
      <c r="B31" s="13">
        <v>23</v>
      </c>
      <c r="C31" s="13">
        <v>25</v>
      </c>
      <c r="D31" s="13">
        <v>18</v>
      </c>
      <c r="E31" s="13">
        <v>29</v>
      </c>
      <c r="F31" s="13">
        <v>29</v>
      </c>
      <c r="G31" s="69">
        <v>55</v>
      </c>
      <c r="H31" s="69">
        <v>17</v>
      </c>
      <c r="I31" s="69">
        <v>37</v>
      </c>
      <c r="J31" s="69">
        <v>84</v>
      </c>
      <c r="K31" s="69">
        <v>103</v>
      </c>
      <c r="L31" s="69">
        <v>95</v>
      </c>
      <c r="N31">
        <f>SUM(B31:M31)</f>
        <v>515</v>
      </c>
      <c r="P31" s="44" t="s">
        <v>41</v>
      </c>
      <c r="Q31">
        <v>1</v>
      </c>
      <c r="R31">
        <v>0</v>
      </c>
      <c r="S31">
        <v>1</v>
      </c>
      <c r="T31">
        <v>4</v>
      </c>
      <c r="U31">
        <v>9</v>
      </c>
      <c r="V31">
        <v>5</v>
      </c>
      <c r="W31">
        <v>2</v>
      </c>
      <c r="X31">
        <v>4</v>
      </c>
      <c r="Y31">
        <v>10</v>
      </c>
      <c r="Z31">
        <v>13</v>
      </c>
      <c r="AA31">
        <v>12</v>
      </c>
      <c r="AC31">
        <f>SUM(Q31:AB31)</f>
        <v>61</v>
      </c>
    </row>
    <row r="33" spans="1:12" x14ac:dyDescent="0.25">
      <c r="A33" t="s">
        <v>33</v>
      </c>
      <c r="B33" s="12">
        <v>21</v>
      </c>
      <c r="C33" s="12">
        <v>25</v>
      </c>
      <c r="D33" s="12">
        <v>19</v>
      </c>
      <c r="E33" s="12">
        <v>29</v>
      </c>
      <c r="F33" s="12">
        <v>29</v>
      </c>
      <c r="G33" s="12">
        <v>55</v>
      </c>
      <c r="H33" s="12">
        <v>17</v>
      </c>
      <c r="I33" s="12">
        <v>37</v>
      </c>
      <c r="J33" s="12">
        <v>84</v>
      </c>
      <c r="K33" s="12">
        <v>104</v>
      </c>
      <c r="L33" s="12">
        <v>95</v>
      </c>
    </row>
    <row r="35" spans="1:12" x14ac:dyDescent="0.25">
      <c r="A35" t="s">
        <v>54</v>
      </c>
      <c r="B35" s="12">
        <v>1</v>
      </c>
      <c r="C35" s="12">
        <v>0</v>
      </c>
      <c r="D35" s="12">
        <v>1</v>
      </c>
      <c r="E35" s="12">
        <v>4</v>
      </c>
      <c r="F35" s="12">
        <v>9</v>
      </c>
      <c r="G35" s="12">
        <v>5</v>
      </c>
      <c r="H35" s="12">
        <v>2</v>
      </c>
      <c r="I35" s="12">
        <v>4</v>
      </c>
      <c r="J35" s="12">
        <v>10</v>
      </c>
      <c r="K35" s="12">
        <v>12</v>
      </c>
      <c r="L35" s="12">
        <v>12</v>
      </c>
    </row>
    <row r="36" spans="1:12" x14ac:dyDescent="0.25">
      <c r="B36" t="s">
        <v>42</v>
      </c>
      <c r="D36" t="s">
        <v>44</v>
      </c>
      <c r="E36" t="s">
        <v>45</v>
      </c>
      <c r="F36" t="s">
        <v>47</v>
      </c>
      <c r="G36" t="s">
        <v>64</v>
      </c>
      <c r="H36" t="s">
        <v>65</v>
      </c>
      <c r="I36" t="s">
        <v>97</v>
      </c>
      <c r="J36" t="s">
        <v>99</v>
      </c>
      <c r="K36" t="s">
        <v>102</v>
      </c>
      <c r="L36" t="s">
        <v>1755</v>
      </c>
    </row>
    <row r="37" spans="1:12" x14ac:dyDescent="0.25">
      <c r="E37" t="s">
        <v>46</v>
      </c>
      <c r="F37" t="s">
        <v>48</v>
      </c>
      <c r="G37" t="s">
        <v>42</v>
      </c>
      <c r="H37" t="s">
        <v>92</v>
      </c>
      <c r="I37" t="s">
        <v>65</v>
      </c>
      <c r="J37" t="s">
        <v>97</v>
      </c>
      <c r="K37" t="s">
        <v>103</v>
      </c>
      <c r="L37" t="s">
        <v>92</v>
      </c>
    </row>
    <row r="38" spans="1:12" x14ac:dyDescent="0.25">
      <c r="E38" t="s">
        <v>44</v>
      </c>
      <c r="F38" t="s">
        <v>46</v>
      </c>
      <c r="G38" t="s">
        <v>65</v>
      </c>
      <c r="I38" t="s">
        <v>98</v>
      </c>
      <c r="J38" t="s">
        <v>98</v>
      </c>
      <c r="K38" t="s">
        <v>104</v>
      </c>
      <c r="L38" t="s">
        <v>100</v>
      </c>
    </row>
    <row r="39" spans="1:12" x14ac:dyDescent="0.25">
      <c r="F39" t="s">
        <v>44</v>
      </c>
      <c r="J39" t="s">
        <v>100</v>
      </c>
      <c r="K39" t="s">
        <v>100</v>
      </c>
      <c r="L39" t="s">
        <v>42</v>
      </c>
    </row>
    <row r="40" spans="1:12" x14ac:dyDescent="0.25">
      <c r="J40" t="s">
        <v>44</v>
      </c>
      <c r="K40" t="s">
        <v>44</v>
      </c>
      <c r="L40" t="s">
        <v>44</v>
      </c>
    </row>
    <row r="41" spans="1:12" x14ac:dyDescent="0.25">
      <c r="J41" t="s">
        <v>101</v>
      </c>
      <c r="K41" t="s">
        <v>42</v>
      </c>
      <c r="L41" t="s">
        <v>101</v>
      </c>
    </row>
  </sheetData>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EB7580-35C5-4A2E-BE62-8142D7A2F13B}">
  <dimension ref="A1:Q11"/>
  <sheetViews>
    <sheetView workbookViewId="0">
      <pane ySplit="1" topLeftCell="A2" activePane="bottomLeft" state="frozen"/>
      <selection pane="bottomLeft" activeCell="K25" sqref="K25"/>
    </sheetView>
  </sheetViews>
  <sheetFormatPr defaultRowHeight="15" x14ac:dyDescent="0.25"/>
  <cols>
    <col min="1" max="1" width="11.85546875" bestFit="1" customWidth="1"/>
    <col min="15" max="15" width="8.85546875" customWidth="1"/>
  </cols>
  <sheetData>
    <row r="1" spans="1:17" ht="15.75" thickBot="1" x14ac:dyDescent="0.3">
      <c r="A1" s="62" t="s">
        <v>35</v>
      </c>
      <c r="B1" s="65">
        <v>2014</v>
      </c>
      <c r="C1" s="65">
        <v>2015</v>
      </c>
      <c r="D1" s="65">
        <v>2016</v>
      </c>
      <c r="E1" s="65">
        <v>2017</v>
      </c>
      <c r="F1" s="65">
        <v>2018</v>
      </c>
      <c r="G1" s="65">
        <v>2019</v>
      </c>
      <c r="H1" s="65">
        <v>2020</v>
      </c>
      <c r="I1" s="65">
        <v>2021</v>
      </c>
      <c r="J1" s="65">
        <v>2022</v>
      </c>
      <c r="K1" s="65">
        <v>2023</v>
      </c>
      <c r="L1" s="65">
        <v>2024</v>
      </c>
      <c r="M1" s="65">
        <v>2025</v>
      </c>
      <c r="N1" s="65" t="s">
        <v>0</v>
      </c>
    </row>
    <row r="2" spans="1:17" x14ac:dyDescent="0.25">
      <c r="A2" s="63" t="s">
        <v>49</v>
      </c>
      <c r="B2" s="54">
        <v>1</v>
      </c>
      <c r="C2" s="54">
        <v>1</v>
      </c>
      <c r="D2" s="54">
        <v>1</v>
      </c>
      <c r="E2" s="54">
        <v>2</v>
      </c>
      <c r="F2" s="54">
        <v>2</v>
      </c>
      <c r="G2" s="54">
        <v>5</v>
      </c>
      <c r="H2" s="54">
        <v>1</v>
      </c>
      <c r="I2" s="54">
        <v>6</v>
      </c>
      <c r="J2" s="54">
        <v>7</v>
      </c>
      <c r="K2" s="54">
        <v>8</v>
      </c>
      <c r="L2" s="54">
        <v>15</v>
      </c>
      <c r="M2" s="54"/>
      <c r="N2" s="54">
        <f>SUM(B2:M2)</f>
        <v>49</v>
      </c>
      <c r="O2">
        <f>N2/N7%</f>
        <v>10.76923076923077</v>
      </c>
      <c r="P2" t="s">
        <v>73</v>
      </c>
    </row>
    <row r="3" spans="1:17" x14ac:dyDescent="0.25">
      <c r="A3" s="58" t="s">
        <v>50</v>
      </c>
      <c r="B3" s="14">
        <v>3</v>
      </c>
      <c r="C3" s="14">
        <v>3</v>
      </c>
      <c r="D3" s="14">
        <v>2</v>
      </c>
      <c r="E3" s="14">
        <v>5</v>
      </c>
      <c r="F3" s="14">
        <v>2</v>
      </c>
      <c r="G3" s="14">
        <v>9</v>
      </c>
      <c r="H3" s="14">
        <v>4</v>
      </c>
      <c r="I3" s="14">
        <v>5</v>
      </c>
      <c r="J3" s="14">
        <v>13</v>
      </c>
      <c r="K3" s="14">
        <v>11</v>
      </c>
      <c r="L3" s="14">
        <v>9</v>
      </c>
      <c r="M3" s="14"/>
      <c r="N3" s="14">
        <f>SUM(B3:M3)</f>
        <v>66</v>
      </c>
      <c r="O3">
        <f>N3/N7%</f>
        <v>14.505494505494505</v>
      </c>
      <c r="P3" t="s">
        <v>73</v>
      </c>
      <c r="Q3" s="1" t="s">
        <v>0</v>
      </c>
    </row>
    <row r="4" spans="1:17" x14ac:dyDescent="0.25">
      <c r="A4" s="58" t="s">
        <v>51</v>
      </c>
      <c r="B4" s="14"/>
      <c r="C4" s="14">
        <v>1</v>
      </c>
      <c r="D4" s="14">
        <v>1</v>
      </c>
      <c r="E4" s="14">
        <v>1</v>
      </c>
      <c r="F4" s="14">
        <v>4</v>
      </c>
      <c r="G4" s="14">
        <v>3</v>
      </c>
      <c r="H4" s="14">
        <v>1</v>
      </c>
      <c r="I4" s="14">
        <v>3</v>
      </c>
      <c r="J4" s="14">
        <v>2</v>
      </c>
      <c r="K4" s="14">
        <v>3</v>
      </c>
      <c r="L4" s="14">
        <v>3</v>
      </c>
      <c r="M4" s="14"/>
      <c r="N4" s="14">
        <f>SUM(B4:M4)</f>
        <v>22</v>
      </c>
      <c r="O4">
        <f>N4/N7%</f>
        <v>4.8351648351648358</v>
      </c>
      <c r="P4" t="s">
        <v>73</v>
      </c>
      <c r="Q4" s="12">
        <f>SUM(N7,N9)</f>
        <v>514</v>
      </c>
    </row>
    <row r="5" spans="1:17" x14ac:dyDescent="0.25">
      <c r="A5" s="58" t="s">
        <v>52</v>
      </c>
      <c r="B5" s="14">
        <v>9</v>
      </c>
      <c r="C5" s="14">
        <v>6</v>
      </c>
      <c r="D5" s="14">
        <v>6</v>
      </c>
      <c r="E5" s="14">
        <v>5</v>
      </c>
      <c r="F5" s="14">
        <v>10</v>
      </c>
      <c r="G5" s="14">
        <v>13</v>
      </c>
      <c r="H5" s="14">
        <v>5</v>
      </c>
      <c r="I5" s="14">
        <v>11</v>
      </c>
      <c r="J5" s="14">
        <v>29</v>
      </c>
      <c r="K5" s="14">
        <v>34</v>
      </c>
      <c r="L5" s="14">
        <v>41</v>
      </c>
      <c r="M5" s="14"/>
      <c r="N5" s="14">
        <f>SUM(B5:M5)</f>
        <v>169</v>
      </c>
      <c r="O5">
        <f>N5/N7%</f>
        <v>37.142857142857146</v>
      </c>
      <c r="P5" t="s">
        <v>73</v>
      </c>
    </row>
    <row r="6" spans="1:17" ht="15.75" thickBot="1" x14ac:dyDescent="0.3">
      <c r="A6" s="64" t="s">
        <v>53</v>
      </c>
      <c r="B6" s="60">
        <v>9</v>
      </c>
      <c r="C6" s="60">
        <v>14</v>
      </c>
      <c r="D6" s="60">
        <v>7</v>
      </c>
      <c r="E6" s="60">
        <v>12</v>
      </c>
      <c r="F6" s="60">
        <v>2</v>
      </c>
      <c r="G6" s="60">
        <v>20</v>
      </c>
      <c r="H6" s="60">
        <v>4</v>
      </c>
      <c r="I6" s="60">
        <v>8</v>
      </c>
      <c r="J6" s="60">
        <v>23</v>
      </c>
      <c r="K6" s="60">
        <v>35</v>
      </c>
      <c r="L6" s="60">
        <v>15</v>
      </c>
      <c r="M6" s="60"/>
      <c r="N6" s="60">
        <f>SUM(B6:M6)</f>
        <v>149</v>
      </c>
      <c r="O6">
        <f>N6/N7%</f>
        <v>32.747252747252752</v>
      </c>
      <c r="P6" t="s">
        <v>73</v>
      </c>
    </row>
    <row r="7" spans="1:17" ht="15.75" thickBot="1" x14ac:dyDescent="0.3">
      <c r="A7" s="1" t="s">
        <v>0</v>
      </c>
      <c r="B7" s="72">
        <f>SUM(B2:B6)</f>
        <v>22</v>
      </c>
      <c r="C7" s="72">
        <f t="shared" ref="C7:J7" si="0">SUM(C2:C6)</f>
        <v>25</v>
      </c>
      <c r="D7" s="72">
        <f t="shared" si="0"/>
        <v>17</v>
      </c>
      <c r="E7" s="72">
        <f t="shared" si="0"/>
        <v>25</v>
      </c>
      <c r="F7" s="72">
        <f t="shared" si="0"/>
        <v>20</v>
      </c>
      <c r="G7" s="72">
        <f t="shared" si="0"/>
        <v>50</v>
      </c>
      <c r="H7" s="72">
        <f t="shared" si="0"/>
        <v>15</v>
      </c>
      <c r="I7" s="72">
        <f t="shared" si="0"/>
        <v>33</v>
      </c>
      <c r="J7" s="72">
        <f t="shared" si="0"/>
        <v>74</v>
      </c>
      <c r="K7" s="72">
        <f t="shared" ref="K7" si="1">SUM(K2:K6)</f>
        <v>91</v>
      </c>
      <c r="L7" s="72">
        <f t="shared" ref="L7" si="2">SUM(L2:L6)</f>
        <v>83</v>
      </c>
      <c r="M7" s="72">
        <f t="shared" ref="M7" si="3">SUM(M2:M6)</f>
        <v>0</v>
      </c>
      <c r="N7" s="72">
        <f>SUM(N2:N6)</f>
        <v>455</v>
      </c>
      <c r="O7" s="71">
        <f>SUM(O2:O6)</f>
        <v>100</v>
      </c>
    </row>
    <row r="9" spans="1:17" x14ac:dyDescent="0.25">
      <c r="A9" s="66" t="s">
        <v>54</v>
      </c>
      <c r="B9" s="12">
        <v>1</v>
      </c>
      <c r="C9" s="12"/>
      <c r="D9" s="12">
        <v>1</v>
      </c>
      <c r="E9" s="12">
        <v>4</v>
      </c>
      <c r="F9" s="12">
        <v>9</v>
      </c>
      <c r="G9" s="12">
        <v>5</v>
      </c>
      <c r="H9" s="12">
        <v>2</v>
      </c>
      <c r="I9" s="12">
        <v>4</v>
      </c>
      <c r="J9" s="12">
        <v>10</v>
      </c>
      <c r="K9" s="12">
        <v>12</v>
      </c>
      <c r="L9" s="12">
        <v>12</v>
      </c>
      <c r="M9" s="12"/>
      <c r="N9" s="12">
        <f>SUM(D9:M9)</f>
        <v>59</v>
      </c>
    </row>
    <row r="10" spans="1:17" ht="15.75" thickBot="1" x14ac:dyDescent="0.3"/>
    <row r="11" spans="1:17" ht="15.75" thickBot="1" x14ac:dyDescent="0.3">
      <c r="B11" s="16">
        <v>22</v>
      </c>
      <c r="C11" s="16">
        <v>25</v>
      </c>
      <c r="D11" s="16">
        <v>18</v>
      </c>
      <c r="E11" s="16">
        <v>29</v>
      </c>
      <c r="F11" s="16">
        <v>29</v>
      </c>
      <c r="G11" s="70">
        <v>55</v>
      </c>
      <c r="H11" s="16">
        <v>17</v>
      </c>
      <c r="I11" s="16">
        <v>37</v>
      </c>
      <c r="J11" s="16">
        <v>84</v>
      </c>
      <c r="K11" s="16">
        <v>103</v>
      </c>
      <c r="L11" s="16">
        <v>95</v>
      </c>
      <c r="M11" s="16"/>
    </row>
  </sheetData>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3853FB-5E04-4FCF-B1D5-8B786C2F5150}">
  <dimension ref="A1:AB31"/>
  <sheetViews>
    <sheetView workbookViewId="0">
      <selection activeCell="O3" sqref="O3:R5"/>
    </sheetView>
  </sheetViews>
  <sheetFormatPr defaultRowHeight="15" x14ac:dyDescent="0.25"/>
  <cols>
    <col min="1" max="1" width="11.5703125" bestFit="1" customWidth="1"/>
    <col min="2" max="2" width="8.7109375" bestFit="1" customWidth="1"/>
    <col min="4" max="4" width="10.28515625" customWidth="1"/>
    <col min="5" max="5" width="9.7109375" customWidth="1"/>
    <col min="6" max="6" width="11.85546875" customWidth="1"/>
    <col min="8" max="9" width="10.28515625" customWidth="1"/>
    <col min="14" max="14" width="5.7109375" customWidth="1"/>
    <col min="15" max="15" width="11.5703125" bestFit="1" customWidth="1"/>
  </cols>
  <sheetData>
    <row r="1" spans="1:28" ht="15.75" thickBot="1" x14ac:dyDescent="0.3"/>
    <row r="2" spans="1:28" ht="15.75" thickBot="1" x14ac:dyDescent="0.3">
      <c r="A2" s="75" t="s">
        <v>96</v>
      </c>
      <c r="B2" s="95">
        <v>2014</v>
      </c>
      <c r="C2" s="95">
        <v>2015</v>
      </c>
      <c r="D2" s="95">
        <v>2016</v>
      </c>
      <c r="E2" s="95">
        <v>2017</v>
      </c>
      <c r="F2" s="95">
        <v>2018</v>
      </c>
      <c r="G2" s="95">
        <v>2019</v>
      </c>
      <c r="H2" s="95">
        <v>2020</v>
      </c>
      <c r="I2" s="95">
        <v>2021</v>
      </c>
      <c r="J2" s="95">
        <v>2022</v>
      </c>
      <c r="K2" s="95">
        <v>2023</v>
      </c>
      <c r="L2" s="95">
        <v>2024</v>
      </c>
      <c r="M2" s="65" t="s">
        <v>0</v>
      </c>
    </row>
    <row r="3" spans="1:28" x14ac:dyDescent="0.25">
      <c r="A3" t="s">
        <v>55</v>
      </c>
      <c r="B3" s="96">
        <v>10</v>
      </c>
      <c r="C3" s="88">
        <v>1</v>
      </c>
      <c r="D3" s="88">
        <v>5</v>
      </c>
      <c r="E3" s="88">
        <v>2</v>
      </c>
      <c r="F3" s="88">
        <v>2</v>
      </c>
      <c r="G3" s="88">
        <v>10</v>
      </c>
      <c r="H3" s="88">
        <v>4</v>
      </c>
      <c r="I3" s="88">
        <v>4</v>
      </c>
      <c r="J3" s="88">
        <v>29</v>
      </c>
      <c r="K3" s="88">
        <v>33</v>
      </c>
      <c r="L3" s="89">
        <v>27</v>
      </c>
      <c r="M3" s="100">
        <f>SUM(B3:L3)</f>
        <v>127</v>
      </c>
      <c r="O3" t="s">
        <v>55</v>
      </c>
      <c r="P3">
        <f>M3</f>
        <v>127</v>
      </c>
      <c r="Q3">
        <f>P3/P5%</f>
        <v>70.165745856353595</v>
      </c>
      <c r="R3" t="s">
        <v>73</v>
      </c>
    </row>
    <row r="4" spans="1:28" ht="15.75" thickBot="1" x14ac:dyDescent="0.3">
      <c r="A4" t="s">
        <v>56</v>
      </c>
      <c r="B4" s="92">
        <v>2</v>
      </c>
      <c r="C4" s="93">
        <v>4</v>
      </c>
      <c r="D4" s="93">
        <v>1</v>
      </c>
      <c r="E4" s="93">
        <v>5</v>
      </c>
      <c r="F4" s="93">
        <v>3</v>
      </c>
      <c r="G4" s="93">
        <v>3</v>
      </c>
      <c r="H4" s="93">
        <v>1</v>
      </c>
      <c r="I4" s="93">
        <v>2</v>
      </c>
      <c r="J4" s="93">
        <v>12</v>
      </c>
      <c r="K4" s="93">
        <v>13</v>
      </c>
      <c r="L4" s="94">
        <v>10</v>
      </c>
      <c r="M4" s="69">
        <f>SUM(C4:L4)</f>
        <v>54</v>
      </c>
      <c r="O4" t="s">
        <v>56</v>
      </c>
      <c r="P4">
        <f>M4</f>
        <v>54</v>
      </c>
      <c r="Q4">
        <f>P4/P5%</f>
        <v>29.834254143646408</v>
      </c>
      <c r="R4" t="s">
        <v>73</v>
      </c>
    </row>
    <row r="5" spans="1:28" ht="15.75" thickBot="1" x14ac:dyDescent="0.3">
      <c r="A5" s="1" t="s">
        <v>0</v>
      </c>
      <c r="B5" s="97">
        <f>SUM(B3:B4)</f>
        <v>12</v>
      </c>
      <c r="C5" s="98">
        <f t="shared" ref="C5:J5" si="0">SUM(C3:C4)</f>
        <v>5</v>
      </c>
      <c r="D5" s="98">
        <f t="shared" si="0"/>
        <v>6</v>
      </c>
      <c r="E5" s="98">
        <f t="shared" si="0"/>
        <v>7</v>
      </c>
      <c r="F5" s="98">
        <f t="shared" si="0"/>
        <v>5</v>
      </c>
      <c r="G5" s="98">
        <f t="shared" si="0"/>
        <v>13</v>
      </c>
      <c r="H5" s="98">
        <f t="shared" si="0"/>
        <v>5</v>
      </c>
      <c r="I5" s="98">
        <f t="shared" si="0"/>
        <v>6</v>
      </c>
      <c r="J5" s="98">
        <f t="shared" si="0"/>
        <v>41</v>
      </c>
      <c r="K5" s="98">
        <f t="shared" ref="K5" si="1">SUM(K3:K4)</f>
        <v>46</v>
      </c>
      <c r="L5" s="99">
        <f t="shared" ref="L5" si="2">SUM(L3:L4)</f>
        <v>37</v>
      </c>
      <c r="M5" s="72">
        <f>SUM(M3:M4)</f>
        <v>181</v>
      </c>
      <c r="O5" s="12" t="s">
        <v>0</v>
      </c>
      <c r="P5">
        <f>SUM(P3:P4)</f>
        <v>181</v>
      </c>
    </row>
    <row r="7" spans="1:28" ht="14.45" customHeight="1" x14ac:dyDescent="0.25">
      <c r="B7" t="s">
        <v>57</v>
      </c>
      <c r="C7" s="67" t="s">
        <v>78</v>
      </c>
      <c r="D7" s="67" t="s">
        <v>57</v>
      </c>
      <c r="E7" s="67" t="s">
        <v>57</v>
      </c>
      <c r="F7" s="67" t="s">
        <v>85</v>
      </c>
      <c r="G7" s="67" t="s">
        <v>88</v>
      </c>
      <c r="H7" s="67" t="s">
        <v>60</v>
      </c>
      <c r="I7" s="67" t="s">
        <v>57</v>
      </c>
    </row>
    <row r="8" spans="1:28" ht="30" x14ac:dyDescent="0.25">
      <c r="B8" s="67" t="s">
        <v>58</v>
      </c>
      <c r="C8" s="67"/>
      <c r="D8" s="67" t="s">
        <v>82</v>
      </c>
      <c r="E8" s="67" t="s">
        <v>91</v>
      </c>
      <c r="F8" s="67" t="s">
        <v>86</v>
      </c>
      <c r="G8" s="67" t="s">
        <v>85</v>
      </c>
      <c r="H8" s="67" t="s">
        <v>57</v>
      </c>
      <c r="I8" s="67" t="s">
        <v>61</v>
      </c>
    </row>
    <row r="9" spans="1:28" ht="15.75" thickBot="1" x14ac:dyDescent="0.3">
      <c r="B9" s="67" t="s">
        <v>59</v>
      </c>
      <c r="C9" s="67"/>
      <c r="D9" s="67" t="s">
        <v>83</v>
      </c>
      <c r="E9" s="67"/>
      <c r="G9" s="67" t="s">
        <v>61</v>
      </c>
      <c r="H9" s="67" t="s">
        <v>61</v>
      </c>
      <c r="I9" s="67" t="s">
        <v>61</v>
      </c>
    </row>
    <row r="10" spans="1:28" ht="15.75" thickBot="1" x14ac:dyDescent="0.3">
      <c r="B10" s="67" t="s">
        <v>58</v>
      </c>
      <c r="C10" s="67"/>
      <c r="D10" s="67" t="s">
        <v>61</v>
      </c>
      <c r="E10" s="67"/>
      <c r="G10" s="67" t="s">
        <v>61</v>
      </c>
      <c r="H10" s="67" t="s">
        <v>58</v>
      </c>
      <c r="I10" s="67" t="s">
        <v>57</v>
      </c>
      <c r="O10" s="75" t="s">
        <v>94</v>
      </c>
    </row>
    <row r="11" spans="1:28" ht="15.75" thickBot="1" x14ac:dyDescent="0.3">
      <c r="B11" s="67" t="s">
        <v>60</v>
      </c>
      <c r="D11" s="67" t="s">
        <v>63</v>
      </c>
      <c r="E11" s="68"/>
      <c r="G11" s="67" t="s">
        <v>89</v>
      </c>
      <c r="P11" s="95">
        <v>2014</v>
      </c>
      <c r="Q11" s="95">
        <v>2015</v>
      </c>
      <c r="R11" s="95">
        <v>2016</v>
      </c>
      <c r="S11" s="95">
        <v>2017</v>
      </c>
      <c r="T11" s="95">
        <v>2018</v>
      </c>
      <c r="U11" s="95">
        <v>2019</v>
      </c>
      <c r="V11" s="95">
        <v>2020</v>
      </c>
      <c r="W11" s="95">
        <v>2021</v>
      </c>
      <c r="X11" s="95">
        <v>2022</v>
      </c>
      <c r="Y11" s="95">
        <v>2023</v>
      </c>
      <c r="Z11" s="95">
        <v>2024</v>
      </c>
      <c r="AA11" s="65" t="s">
        <v>0</v>
      </c>
    </row>
    <row r="12" spans="1:28" x14ac:dyDescent="0.25">
      <c r="B12" s="67" t="s">
        <v>58</v>
      </c>
      <c r="D12" s="67"/>
      <c r="G12" s="67" t="s">
        <v>61</v>
      </c>
      <c r="O12" t="s">
        <v>55</v>
      </c>
      <c r="P12" s="96">
        <v>9</v>
      </c>
      <c r="Q12" s="88">
        <v>1</v>
      </c>
      <c r="R12" s="88">
        <v>4</v>
      </c>
      <c r="S12" s="88">
        <v>1</v>
      </c>
      <c r="T12" s="88">
        <v>2</v>
      </c>
      <c r="U12" s="88">
        <v>10</v>
      </c>
      <c r="V12" s="88">
        <v>3</v>
      </c>
      <c r="W12" s="88">
        <v>2</v>
      </c>
      <c r="X12" s="88">
        <v>20</v>
      </c>
      <c r="Y12" s="88">
        <v>18</v>
      </c>
      <c r="Z12" s="89">
        <v>15</v>
      </c>
      <c r="AA12" s="100">
        <f>SUM(P12:Z12)</f>
        <v>85</v>
      </c>
      <c r="AB12">
        <f>AA12/AA14%</f>
        <v>61.151079136690655</v>
      </c>
    </row>
    <row r="13" spans="1:28" ht="15.75" thickBot="1" x14ac:dyDescent="0.3">
      <c r="B13" s="67" t="s">
        <v>61</v>
      </c>
      <c r="D13" s="67"/>
      <c r="G13" s="67" t="s">
        <v>84</v>
      </c>
      <c r="O13" t="s">
        <v>56</v>
      </c>
      <c r="P13" s="92">
        <v>2</v>
      </c>
      <c r="Q13" s="93">
        <v>4</v>
      </c>
      <c r="R13" s="93">
        <v>1</v>
      </c>
      <c r="S13" s="93">
        <v>5</v>
      </c>
      <c r="T13" s="93">
        <v>3</v>
      </c>
      <c r="U13" s="93">
        <v>3</v>
      </c>
      <c r="V13" s="93">
        <v>1</v>
      </c>
      <c r="W13" s="93">
        <v>2</v>
      </c>
      <c r="X13" s="93">
        <v>12</v>
      </c>
      <c r="Y13" s="93">
        <v>13</v>
      </c>
      <c r="Z13" s="94">
        <v>10</v>
      </c>
      <c r="AA13" s="69">
        <f>SUM(Q13:Z13)</f>
        <v>54</v>
      </c>
      <c r="AB13">
        <f>AA13/AA14%</f>
        <v>38.848920863309353</v>
      </c>
    </row>
    <row r="14" spans="1:28" ht="15.75" thickBot="1" x14ac:dyDescent="0.3">
      <c r="B14" s="67" t="s">
        <v>60</v>
      </c>
      <c r="G14" s="67" t="s">
        <v>61</v>
      </c>
      <c r="O14" s="1" t="s">
        <v>0</v>
      </c>
      <c r="P14" s="70">
        <f>SUM(P12:P13)</f>
        <v>11</v>
      </c>
      <c r="Q14" s="101">
        <f t="shared" ref="Q14:Z14" si="3">SUM(Q12:Q13)</f>
        <v>5</v>
      </c>
      <c r="R14" s="101">
        <f t="shared" si="3"/>
        <v>5</v>
      </c>
      <c r="S14" s="101">
        <f t="shared" si="3"/>
        <v>6</v>
      </c>
      <c r="T14" s="101">
        <f t="shared" si="3"/>
        <v>5</v>
      </c>
      <c r="U14" s="101">
        <f t="shared" si="3"/>
        <v>13</v>
      </c>
      <c r="V14" s="101">
        <f t="shared" si="3"/>
        <v>4</v>
      </c>
      <c r="W14" s="101">
        <f t="shared" si="3"/>
        <v>4</v>
      </c>
      <c r="X14" s="101">
        <f t="shared" si="3"/>
        <v>32</v>
      </c>
      <c r="Y14" s="101">
        <f t="shared" si="3"/>
        <v>31</v>
      </c>
      <c r="Z14" s="102">
        <f t="shared" si="3"/>
        <v>25</v>
      </c>
      <c r="AA14" s="16">
        <f>SUM(AA12:AA13)</f>
        <v>139</v>
      </c>
      <c r="AB14" s="12"/>
    </row>
    <row r="15" spans="1:28" x14ac:dyDescent="0.25">
      <c r="B15" s="67" t="s">
        <v>61</v>
      </c>
      <c r="G15" s="67" t="s">
        <v>87</v>
      </c>
    </row>
    <row r="16" spans="1:28" x14ac:dyDescent="0.25">
      <c r="B16" s="67" t="s">
        <v>61</v>
      </c>
      <c r="G16" s="67" t="s">
        <v>61</v>
      </c>
    </row>
    <row r="17" spans="1:21" x14ac:dyDescent="0.25">
      <c r="B17" s="73"/>
      <c r="C17" s="74"/>
      <c r="D17" s="74"/>
      <c r="E17" s="74"/>
      <c r="F17" s="74"/>
      <c r="G17" s="74"/>
      <c r="H17" s="74"/>
      <c r="I17" s="74"/>
      <c r="J17" s="74"/>
      <c r="K17" s="74"/>
      <c r="L17" s="74"/>
    </row>
    <row r="18" spans="1:21" x14ac:dyDescent="0.25">
      <c r="B18" s="67" t="s">
        <v>77</v>
      </c>
      <c r="C18" s="67" t="s">
        <v>79</v>
      </c>
      <c r="D18" t="s">
        <v>81</v>
      </c>
      <c r="E18" s="67" t="s">
        <v>84</v>
      </c>
      <c r="F18" s="67" t="s">
        <v>87</v>
      </c>
      <c r="G18" s="67" t="s">
        <v>90</v>
      </c>
      <c r="H18" s="67" t="s">
        <v>61</v>
      </c>
      <c r="I18" s="67" t="s">
        <v>88</v>
      </c>
    </row>
    <row r="19" spans="1:21" x14ac:dyDescent="0.25">
      <c r="B19" s="67" t="s">
        <v>62</v>
      </c>
      <c r="C19" s="67" t="s">
        <v>80</v>
      </c>
      <c r="E19" s="67" t="s">
        <v>61</v>
      </c>
      <c r="F19" s="67" t="s">
        <v>61</v>
      </c>
      <c r="G19" s="67" t="s">
        <v>61</v>
      </c>
      <c r="I19" s="67" t="s">
        <v>61</v>
      </c>
    </row>
    <row r="20" spans="1:21" x14ac:dyDescent="0.25">
      <c r="C20" s="67" t="s">
        <v>58</v>
      </c>
      <c r="E20" s="67" t="s">
        <v>61</v>
      </c>
      <c r="F20" s="67" t="s">
        <v>86</v>
      </c>
      <c r="G20" s="67" t="s">
        <v>84</v>
      </c>
    </row>
    <row r="21" spans="1:21" x14ac:dyDescent="0.25">
      <c r="C21" s="67" t="s">
        <v>63</v>
      </c>
      <c r="E21" s="67" t="s">
        <v>61</v>
      </c>
    </row>
    <row r="22" spans="1:21" x14ac:dyDescent="0.25">
      <c r="E22" s="67" t="s">
        <v>61</v>
      </c>
    </row>
    <row r="24" spans="1:21" x14ac:dyDescent="0.25">
      <c r="P24" t="s">
        <v>93</v>
      </c>
    </row>
    <row r="25" spans="1:21" x14ac:dyDescent="0.25">
      <c r="U25">
        <f>SUM(AA12,M29)</f>
        <v>127</v>
      </c>
    </row>
    <row r="27" spans="1:21" ht="15.75" thickBot="1" x14ac:dyDescent="0.3"/>
    <row r="28" spans="1:21" ht="15.75" thickBot="1" x14ac:dyDescent="0.3">
      <c r="A28" s="75" t="s">
        <v>95</v>
      </c>
      <c r="B28" s="65">
        <v>2014</v>
      </c>
      <c r="C28" s="65">
        <v>2015</v>
      </c>
      <c r="D28" s="65">
        <v>2016</v>
      </c>
      <c r="E28" s="65">
        <v>2017</v>
      </c>
      <c r="F28" s="65">
        <v>2018</v>
      </c>
      <c r="G28" s="65">
        <v>2019</v>
      </c>
      <c r="H28" s="65">
        <v>2020</v>
      </c>
      <c r="I28" s="65">
        <v>2021</v>
      </c>
      <c r="J28" s="65">
        <v>2022</v>
      </c>
      <c r="K28" s="65">
        <v>2023</v>
      </c>
      <c r="L28" s="65">
        <v>2024</v>
      </c>
      <c r="M28" s="65" t="s">
        <v>0</v>
      </c>
    </row>
    <row r="29" spans="1:21" x14ac:dyDescent="0.25">
      <c r="A29" t="s">
        <v>76</v>
      </c>
      <c r="B29" s="12">
        <v>1</v>
      </c>
      <c r="C29" s="12">
        <v>0</v>
      </c>
      <c r="D29" s="12">
        <v>1</v>
      </c>
      <c r="E29" s="12">
        <v>1</v>
      </c>
      <c r="F29" s="12">
        <v>0</v>
      </c>
      <c r="G29" s="12">
        <v>0</v>
      </c>
      <c r="H29" s="12">
        <v>1</v>
      </c>
      <c r="I29" s="12">
        <v>2</v>
      </c>
      <c r="J29" s="12">
        <v>9</v>
      </c>
      <c r="K29" s="12">
        <v>15</v>
      </c>
      <c r="L29" s="12">
        <v>12</v>
      </c>
      <c r="M29" s="12">
        <f>SUM(B29:L29)</f>
        <v>42</v>
      </c>
    </row>
    <row r="30" spans="1:21" x14ac:dyDescent="0.25">
      <c r="B30" s="12"/>
      <c r="C30" s="12"/>
      <c r="D30" s="12"/>
      <c r="E30" s="12"/>
      <c r="F30" s="12"/>
      <c r="G30" s="12"/>
      <c r="H30" s="12"/>
      <c r="I30" s="12"/>
      <c r="J30" s="12"/>
      <c r="K30" s="12"/>
      <c r="L30" s="12"/>
      <c r="M30" s="12"/>
    </row>
    <row r="31" spans="1:21" x14ac:dyDescent="0.25">
      <c r="A31" t="s">
        <v>33</v>
      </c>
      <c r="B31" s="12">
        <v>1</v>
      </c>
      <c r="C31" s="12">
        <v>0</v>
      </c>
      <c r="D31" s="12">
        <v>1</v>
      </c>
      <c r="E31" s="12">
        <v>1</v>
      </c>
      <c r="F31" s="12">
        <v>0</v>
      </c>
      <c r="G31" s="12">
        <v>0</v>
      </c>
      <c r="H31" s="12">
        <v>1</v>
      </c>
      <c r="I31" s="12">
        <v>2</v>
      </c>
      <c r="J31" s="12">
        <v>9</v>
      </c>
      <c r="K31" s="12">
        <v>18</v>
      </c>
      <c r="L31" s="12">
        <v>12</v>
      </c>
      <c r="M31" s="12">
        <f>SUM(B31:L31)</f>
        <v>45</v>
      </c>
    </row>
  </sheetData>
  <pageMargins left="0.511811024" right="0.511811024" top="0.78740157499999996" bottom="0.78740157499999996" header="0.31496062000000002" footer="0.3149606200000000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B54481-0CC0-444D-A38E-47390CAC01B9}">
  <dimension ref="A1:N36"/>
  <sheetViews>
    <sheetView workbookViewId="0">
      <selection activeCell="J25" sqref="J25"/>
    </sheetView>
  </sheetViews>
  <sheetFormatPr defaultRowHeight="15" x14ac:dyDescent="0.25"/>
  <cols>
    <col min="1" max="1" width="11.42578125" customWidth="1"/>
    <col min="4" max="4" width="9.5703125" bestFit="1" customWidth="1"/>
    <col min="5" max="7" width="11" bestFit="1" customWidth="1"/>
    <col min="14" max="14" width="9.85546875" customWidth="1"/>
  </cols>
  <sheetData>
    <row r="1" spans="1:14" ht="15.75" thickBot="1" x14ac:dyDescent="0.3">
      <c r="A1" s="62" t="s">
        <v>95</v>
      </c>
      <c r="B1" s="65">
        <v>2014</v>
      </c>
      <c r="C1" s="65">
        <v>2015</v>
      </c>
      <c r="D1" s="65">
        <v>2016</v>
      </c>
      <c r="E1" s="65">
        <v>2017</v>
      </c>
      <c r="F1" s="65">
        <v>2018</v>
      </c>
      <c r="G1" s="65">
        <v>2019</v>
      </c>
      <c r="H1" s="65">
        <v>2020</v>
      </c>
      <c r="I1" s="65">
        <v>2021</v>
      </c>
      <c r="J1" s="65">
        <v>2022</v>
      </c>
      <c r="K1" s="65">
        <v>2023</v>
      </c>
      <c r="L1" s="65">
        <v>2024</v>
      </c>
      <c r="M1" s="65">
        <v>2025</v>
      </c>
      <c r="N1" s="65" t="s">
        <v>0</v>
      </c>
    </row>
    <row r="2" spans="1:14" x14ac:dyDescent="0.25">
      <c r="B2" s="12">
        <v>1</v>
      </c>
      <c r="C2" s="12">
        <v>2</v>
      </c>
      <c r="D2" s="12">
        <v>4</v>
      </c>
      <c r="E2" s="12">
        <v>7</v>
      </c>
      <c r="F2" s="12">
        <v>13</v>
      </c>
      <c r="G2" s="12">
        <v>8</v>
      </c>
      <c r="H2" s="12">
        <v>3</v>
      </c>
      <c r="I2" s="12">
        <v>4</v>
      </c>
      <c r="J2" s="12">
        <v>13</v>
      </c>
      <c r="K2" s="12">
        <v>22</v>
      </c>
      <c r="L2" s="12">
        <v>22</v>
      </c>
      <c r="M2" s="12"/>
      <c r="N2" s="12">
        <f>SUM(B2:M2)</f>
        <v>99</v>
      </c>
    </row>
    <row r="4" spans="1:14" x14ac:dyDescent="0.25">
      <c r="A4" t="s">
        <v>33</v>
      </c>
      <c r="B4" s="12">
        <v>1</v>
      </c>
      <c r="C4" s="12">
        <v>1</v>
      </c>
      <c r="D4" s="12">
        <v>4</v>
      </c>
      <c r="E4" s="12">
        <v>6</v>
      </c>
      <c r="F4" s="12">
        <v>13</v>
      </c>
      <c r="G4" s="12">
        <v>6</v>
      </c>
      <c r="H4" s="12">
        <v>3</v>
      </c>
      <c r="I4" s="12">
        <v>4</v>
      </c>
      <c r="J4" s="12">
        <v>12</v>
      </c>
      <c r="K4" s="12">
        <v>22</v>
      </c>
      <c r="L4" s="12">
        <v>22</v>
      </c>
      <c r="N4" s="12">
        <f>SUM(B4:M4)</f>
        <v>94</v>
      </c>
    </row>
    <row r="6" spans="1:14" x14ac:dyDescent="0.25">
      <c r="C6" t="s">
        <v>66</v>
      </c>
      <c r="D6" t="s">
        <v>67</v>
      </c>
      <c r="E6" t="s">
        <v>68</v>
      </c>
      <c r="F6" t="s">
        <v>69</v>
      </c>
      <c r="G6" t="s">
        <v>67</v>
      </c>
      <c r="H6" t="s">
        <v>66</v>
      </c>
      <c r="I6" t="s">
        <v>97</v>
      </c>
      <c r="J6" t="s">
        <v>99</v>
      </c>
      <c r="K6" t="s">
        <v>102</v>
      </c>
      <c r="L6" t="s">
        <v>1755</v>
      </c>
    </row>
    <row r="7" spans="1:14" x14ac:dyDescent="0.25">
      <c r="B7" t="s">
        <v>42</v>
      </c>
      <c r="D7" t="s">
        <v>44</v>
      </c>
      <c r="E7" t="s">
        <v>45</v>
      </c>
      <c r="F7" t="s">
        <v>47</v>
      </c>
      <c r="G7" t="s">
        <v>64</v>
      </c>
      <c r="H7" t="s">
        <v>65</v>
      </c>
      <c r="I7" t="s">
        <v>65</v>
      </c>
      <c r="J7" t="s">
        <v>97</v>
      </c>
      <c r="K7" t="s">
        <v>103</v>
      </c>
      <c r="L7" t="s">
        <v>92</v>
      </c>
    </row>
    <row r="8" spans="1:14" x14ac:dyDescent="0.25">
      <c r="E8" t="s">
        <v>46</v>
      </c>
      <c r="F8" t="s">
        <v>48</v>
      </c>
      <c r="G8" t="s">
        <v>42</v>
      </c>
      <c r="H8" t="s">
        <v>92</v>
      </c>
      <c r="I8" t="s">
        <v>98</v>
      </c>
      <c r="J8" t="s">
        <v>98</v>
      </c>
      <c r="K8" t="s">
        <v>104</v>
      </c>
      <c r="L8" t="s">
        <v>100</v>
      </c>
    </row>
    <row r="9" spans="1:14" x14ac:dyDescent="0.25">
      <c r="E9" t="s">
        <v>44</v>
      </c>
      <c r="F9" t="s">
        <v>46</v>
      </c>
      <c r="G9" t="s">
        <v>65</v>
      </c>
      <c r="J9" t="s">
        <v>100</v>
      </c>
      <c r="K9" t="s">
        <v>100</v>
      </c>
      <c r="L9" t="s">
        <v>42</v>
      </c>
    </row>
    <row r="10" spans="1:14" x14ac:dyDescent="0.25">
      <c r="F10" t="s">
        <v>44</v>
      </c>
      <c r="J10" t="s">
        <v>44</v>
      </c>
      <c r="K10" t="s">
        <v>44</v>
      </c>
      <c r="L10" t="s">
        <v>44</v>
      </c>
    </row>
    <row r="11" spans="1:14" x14ac:dyDescent="0.25">
      <c r="J11" t="s">
        <v>101</v>
      </c>
      <c r="K11" t="s">
        <v>42</v>
      </c>
      <c r="L11" t="s">
        <v>101</v>
      </c>
    </row>
    <row r="12" spans="1:14" x14ac:dyDescent="0.25">
      <c r="K12" t="s">
        <v>105</v>
      </c>
      <c r="L12" t="s">
        <v>105</v>
      </c>
    </row>
    <row r="13" spans="1:14" ht="15.75" thickBot="1" x14ac:dyDescent="0.3"/>
    <row r="14" spans="1:14" ht="15.75" thickBot="1" x14ac:dyDescent="0.3">
      <c r="A14" s="75" t="s">
        <v>106</v>
      </c>
      <c r="B14" s="43">
        <v>1</v>
      </c>
      <c r="C14" s="25">
        <v>0</v>
      </c>
      <c r="D14" s="25">
        <v>1</v>
      </c>
      <c r="E14" s="25">
        <v>1</v>
      </c>
      <c r="F14" s="25">
        <v>0</v>
      </c>
      <c r="G14" s="25">
        <v>0</v>
      </c>
      <c r="H14" s="25">
        <v>1</v>
      </c>
      <c r="I14" s="25">
        <v>2</v>
      </c>
      <c r="J14" s="25">
        <v>9</v>
      </c>
      <c r="K14" s="25">
        <v>15</v>
      </c>
      <c r="L14" s="25">
        <v>12</v>
      </c>
      <c r="M14" s="25"/>
      <c r="N14" s="25">
        <f>SUM(B14:M14)</f>
        <v>42</v>
      </c>
    </row>
    <row r="17" spans="2:11" x14ac:dyDescent="0.25">
      <c r="B17" s="12"/>
      <c r="C17" s="12"/>
      <c r="D17" s="12"/>
      <c r="E17" s="12"/>
      <c r="F17" s="12"/>
      <c r="G17" s="12"/>
      <c r="H17" s="12"/>
      <c r="I17" s="12"/>
      <c r="J17" s="12"/>
      <c r="K17" s="12"/>
    </row>
    <row r="27" spans="2:11" x14ac:dyDescent="0.25">
      <c r="C27" s="67"/>
      <c r="D27" s="67"/>
      <c r="E27" s="67"/>
      <c r="F27" s="67"/>
      <c r="G27" s="67"/>
      <c r="H27" s="67"/>
      <c r="I27" s="67"/>
    </row>
    <row r="28" spans="2:11" x14ac:dyDescent="0.25">
      <c r="B28" s="67"/>
      <c r="C28" s="67"/>
      <c r="D28" s="67"/>
      <c r="E28" s="67"/>
      <c r="F28" s="67"/>
      <c r="G28" s="67"/>
      <c r="H28" s="67"/>
      <c r="I28" s="67"/>
    </row>
    <row r="29" spans="2:11" x14ac:dyDescent="0.25">
      <c r="B29" s="67"/>
      <c r="C29" s="67"/>
      <c r="D29" s="67"/>
      <c r="E29" s="67"/>
      <c r="G29" s="67"/>
      <c r="H29" s="67"/>
      <c r="I29" s="67"/>
    </row>
    <row r="30" spans="2:11" x14ac:dyDescent="0.25">
      <c r="B30" s="67"/>
      <c r="C30" s="67"/>
      <c r="D30" s="67"/>
      <c r="E30" s="67"/>
      <c r="G30" s="67"/>
      <c r="H30" s="67"/>
      <c r="I30" s="67"/>
    </row>
    <row r="31" spans="2:11" x14ac:dyDescent="0.25">
      <c r="B31" s="67"/>
      <c r="D31" s="67"/>
      <c r="E31" s="68"/>
      <c r="G31" s="67"/>
    </row>
    <row r="32" spans="2:11" x14ac:dyDescent="0.25">
      <c r="B32" s="67"/>
      <c r="D32" s="67"/>
      <c r="G32" s="67"/>
    </row>
    <row r="33" spans="2:7" x14ac:dyDescent="0.25">
      <c r="B33" s="67"/>
      <c r="D33" s="67"/>
      <c r="G33" s="67"/>
    </row>
    <row r="34" spans="2:7" x14ac:dyDescent="0.25">
      <c r="B34" s="67"/>
      <c r="G34" s="67"/>
    </row>
    <row r="35" spans="2:7" x14ac:dyDescent="0.25">
      <c r="B35" s="67"/>
      <c r="G35" s="67"/>
    </row>
    <row r="36" spans="2:7" x14ac:dyDescent="0.25">
      <c r="B36" s="67"/>
      <c r="G36" s="67"/>
    </row>
  </sheetData>
  <pageMargins left="0.511811024" right="0.511811024" top="0.78740157499999996" bottom="0.78740157499999996" header="0.31496062000000002" footer="0.31496062000000002"/>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E183E8-A07F-45DE-BBB1-ACD09F7BE629}">
  <dimension ref="A1:R26"/>
  <sheetViews>
    <sheetView workbookViewId="0">
      <selection activeCell="R26" sqref="R26"/>
    </sheetView>
  </sheetViews>
  <sheetFormatPr defaultRowHeight="15" x14ac:dyDescent="0.25"/>
  <sheetData>
    <row r="1" spans="1:16" ht="15.75" thickBot="1" x14ac:dyDescent="0.3">
      <c r="A1" s="12" t="s">
        <v>70</v>
      </c>
      <c r="B1" s="65">
        <v>2014</v>
      </c>
      <c r="C1" s="65">
        <v>2015</v>
      </c>
      <c r="D1" s="65">
        <v>2016</v>
      </c>
      <c r="E1" s="65">
        <v>2017</v>
      </c>
      <c r="F1" s="65">
        <v>2018</v>
      </c>
      <c r="G1" s="65">
        <v>2019</v>
      </c>
      <c r="H1" s="65">
        <v>2020</v>
      </c>
      <c r="I1" s="65">
        <v>2021</v>
      </c>
      <c r="J1" s="65">
        <v>2022</v>
      </c>
      <c r="K1" s="65">
        <v>2023</v>
      </c>
      <c r="L1" s="65">
        <v>2024</v>
      </c>
      <c r="M1" s="65">
        <v>2025</v>
      </c>
      <c r="N1" s="65" t="s">
        <v>0</v>
      </c>
    </row>
    <row r="2" spans="1:16" x14ac:dyDescent="0.25">
      <c r="A2" t="s">
        <v>71</v>
      </c>
      <c r="B2" s="12">
        <v>22</v>
      </c>
      <c r="C2" s="12">
        <v>25</v>
      </c>
      <c r="D2" s="12">
        <v>16</v>
      </c>
      <c r="E2" s="12">
        <v>28</v>
      </c>
      <c r="F2" s="12">
        <v>29</v>
      </c>
      <c r="G2" s="12">
        <v>54</v>
      </c>
      <c r="H2" s="12">
        <v>17</v>
      </c>
      <c r="I2" s="12">
        <v>35</v>
      </c>
      <c r="J2" s="12">
        <v>80</v>
      </c>
      <c r="K2" s="12">
        <v>101</v>
      </c>
      <c r="L2" s="12">
        <v>86</v>
      </c>
      <c r="M2" s="12"/>
      <c r="N2" s="12">
        <f>SUM(B2:M2)</f>
        <v>493</v>
      </c>
      <c r="O2">
        <f>N2/N4%</f>
        <v>95.728155339805824</v>
      </c>
      <c r="P2" t="s">
        <v>73</v>
      </c>
    </row>
    <row r="3" spans="1:16" x14ac:dyDescent="0.25">
      <c r="A3" t="s">
        <v>72</v>
      </c>
      <c r="B3" s="12">
        <v>1</v>
      </c>
      <c r="C3" s="12">
        <v>0</v>
      </c>
      <c r="D3" s="12">
        <v>2</v>
      </c>
      <c r="E3" s="12">
        <v>1</v>
      </c>
      <c r="F3" s="12">
        <v>0</v>
      </c>
      <c r="G3" s="12">
        <v>1</v>
      </c>
      <c r="H3" s="12">
        <v>0</v>
      </c>
      <c r="I3" s="12">
        <v>2</v>
      </c>
      <c r="J3" s="12">
        <v>4</v>
      </c>
      <c r="K3" s="12">
        <v>2</v>
      </c>
      <c r="L3" s="12">
        <v>9</v>
      </c>
      <c r="M3" s="12"/>
      <c r="N3" s="12">
        <f>SUM(B3:M3)</f>
        <v>22</v>
      </c>
      <c r="O3">
        <f>N3/N4%</f>
        <v>4.2718446601941746</v>
      </c>
      <c r="P3" t="s">
        <v>73</v>
      </c>
    </row>
    <row r="4" spans="1:16" x14ac:dyDescent="0.25">
      <c r="A4" s="12" t="s">
        <v>0</v>
      </c>
      <c r="B4" s="12">
        <f>SUM(B2:B3)</f>
        <v>23</v>
      </c>
      <c r="C4" s="12">
        <f t="shared" ref="C4:M4" si="0">SUM(C2:C3)</f>
        <v>25</v>
      </c>
      <c r="D4" s="12">
        <f t="shared" si="0"/>
        <v>18</v>
      </c>
      <c r="E4" s="12">
        <f t="shared" si="0"/>
        <v>29</v>
      </c>
      <c r="F4" s="12">
        <f t="shared" si="0"/>
        <v>29</v>
      </c>
      <c r="G4" s="12">
        <f t="shared" si="0"/>
        <v>55</v>
      </c>
      <c r="H4" s="12">
        <f t="shared" si="0"/>
        <v>17</v>
      </c>
      <c r="I4" s="12">
        <f t="shared" si="0"/>
        <v>37</v>
      </c>
      <c r="J4" s="12">
        <f t="shared" si="0"/>
        <v>84</v>
      </c>
      <c r="K4" s="12">
        <f t="shared" si="0"/>
        <v>103</v>
      </c>
      <c r="L4" s="12">
        <f t="shared" si="0"/>
        <v>95</v>
      </c>
      <c r="M4" s="12">
        <f t="shared" si="0"/>
        <v>0</v>
      </c>
      <c r="N4" s="12">
        <f>SUM(N2:N3)</f>
        <v>515</v>
      </c>
      <c r="O4" s="12"/>
    </row>
    <row r="7" spans="1:16" x14ac:dyDescent="0.25">
      <c r="A7" t="s">
        <v>2</v>
      </c>
      <c r="B7" s="13">
        <v>22</v>
      </c>
      <c r="C7" s="13">
        <v>25</v>
      </c>
      <c r="D7" s="13">
        <v>18</v>
      </c>
      <c r="E7" s="13">
        <v>29</v>
      </c>
      <c r="F7" s="13">
        <v>29</v>
      </c>
      <c r="G7" s="13">
        <v>55</v>
      </c>
      <c r="H7" s="69">
        <v>17</v>
      </c>
      <c r="I7" s="69">
        <v>37</v>
      </c>
      <c r="J7" s="69">
        <v>84</v>
      </c>
      <c r="K7" s="69">
        <v>103</v>
      </c>
      <c r="L7" s="69">
        <v>95</v>
      </c>
      <c r="N7">
        <f>SUM(B7:M7)</f>
        <v>514</v>
      </c>
    </row>
    <row r="26" spans="18:18" x14ac:dyDescent="0.25">
      <c r="R26" t="s">
        <v>93</v>
      </c>
    </row>
  </sheetData>
  <pageMargins left="0.511811024" right="0.511811024" top="0.78740157499999996" bottom="0.78740157499999996" header="0.31496062000000002" footer="0.3149606200000000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1EB5A5-11C8-44DA-8972-9C67A5CF4C80}">
  <dimension ref="A1:N9"/>
  <sheetViews>
    <sheetView workbookViewId="0">
      <selection activeCell="L8" sqref="L8"/>
    </sheetView>
  </sheetViews>
  <sheetFormatPr defaultRowHeight="15" x14ac:dyDescent="0.25"/>
  <cols>
    <col min="1" max="1" width="13.140625" bestFit="1" customWidth="1"/>
  </cols>
  <sheetData>
    <row r="1" spans="1:14" ht="15.75" thickBot="1" x14ac:dyDescent="0.3">
      <c r="A1" t="s">
        <v>74</v>
      </c>
      <c r="B1" s="65">
        <v>2014</v>
      </c>
      <c r="C1" s="65">
        <v>2015</v>
      </c>
      <c r="D1" s="65">
        <v>2016</v>
      </c>
      <c r="E1" s="65">
        <v>2017</v>
      </c>
      <c r="F1" s="65">
        <v>2018</v>
      </c>
      <c r="G1" s="65">
        <v>2019</v>
      </c>
      <c r="H1" s="65">
        <v>2020</v>
      </c>
      <c r="I1" s="65">
        <v>2021</v>
      </c>
      <c r="J1" s="65">
        <v>2022</v>
      </c>
      <c r="K1" s="65">
        <v>2023</v>
      </c>
      <c r="L1" s="65">
        <v>2024</v>
      </c>
      <c r="M1" s="65">
        <v>2025</v>
      </c>
      <c r="N1" s="65" t="s">
        <v>0</v>
      </c>
    </row>
    <row r="2" spans="1:14" x14ac:dyDescent="0.25">
      <c r="A2" t="s">
        <v>75</v>
      </c>
      <c r="B2">
        <v>7</v>
      </c>
    </row>
    <row r="9" spans="1:14" x14ac:dyDescent="0.25">
      <c r="B9" s="13">
        <v>22</v>
      </c>
      <c r="C9" s="13">
        <v>25</v>
      </c>
      <c r="D9" s="13">
        <v>18</v>
      </c>
      <c r="E9" s="13">
        <v>29</v>
      </c>
      <c r="F9" s="13">
        <v>29</v>
      </c>
      <c r="G9" s="13">
        <v>55</v>
      </c>
      <c r="L9">
        <v>95</v>
      </c>
    </row>
  </sheetData>
  <pageMargins left="0.511811024" right="0.511811024" top="0.78740157499999996" bottom="0.78740157499999996" header="0.31496062000000002" footer="0.3149606200000000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9C84AA-5F8E-4B43-AB89-8E39211F7410}">
  <dimension ref="A1:AC231"/>
  <sheetViews>
    <sheetView workbookViewId="0">
      <pane ySplit="1" topLeftCell="A231" activePane="bottomLeft" state="frozen"/>
      <selection pane="bottomLeft" activeCell="A232" sqref="A232"/>
    </sheetView>
  </sheetViews>
  <sheetFormatPr defaultRowHeight="15" x14ac:dyDescent="0.25"/>
  <cols>
    <col min="1" max="1" width="3" bestFit="1" customWidth="1"/>
    <col min="3" max="3" width="10.42578125" bestFit="1" customWidth="1"/>
    <col min="4" max="4" width="15" customWidth="1"/>
    <col min="5" max="5" width="16.5703125" customWidth="1"/>
    <col min="6" max="6" width="12.85546875" bestFit="1" customWidth="1"/>
    <col min="7" max="7" width="15.7109375" customWidth="1"/>
    <col min="8" max="8" width="7.5703125" customWidth="1"/>
    <col min="9" max="9" width="11.5703125" customWidth="1"/>
    <col min="11" max="15" width="12.42578125" customWidth="1"/>
    <col min="16" max="16" width="22" style="68" customWidth="1"/>
    <col min="17" max="17" width="26.5703125" customWidth="1"/>
    <col min="18" max="18" width="13.7109375" customWidth="1"/>
    <col min="19" max="19" width="11.28515625" customWidth="1"/>
    <col min="20" max="21" width="15.28515625" customWidth="1"/>
    <col min="22" max="23" width="16.42578125" customWidth="1"/>
    <col min="24" max="25" width="13.85546875" customWidth="1"/>
    <col min="26" max="26" width="18" customWidth="1"/>
  </cols>
  <sheetData>
    <row r="1" spans="1:29" ht="33" customHeight="1" thickBot="1" x14ac:dyDescent="0.3">
      <c r="B1" s="113" t="s">
        <v>107</v>
      </c>
      <c r="C1" s="114" t="s">
        <v>108</v>
      </c>
      <c r="D1" s="114" t="s">
        <v>109</v>
      </c>
      <c r="E1" s="114" t="s">
        <v>110</v>
      </c>
      <c r="F1" s="114" t="s">
        <v>111</v>
      </c>
      <c r="G1" s="114" t="s">
        <v>112</v>
      </c>
      <c r="H1" s="114" t="s">
        <v>113</v>
      </c>
      <c r="I1" s="114" t="s">
        <v>114</v>
      </c>
      <c r="J1" s="114" t="s">
        <v>115</v>
      </c>
      <c r="K1" s="114" t="s">
        <v>116</v>
      </c>
      <c r="L1" s="114" t="s">
        <v>117</v>
      </c>
      <c r="M1" s="114" t="s">
        <v>118</v>
      </c>
      <c r="N1" s="114" t="s">
        <v>119</v>
      </c>
      <c r="O1" s="114" t="s">
        <v>120</v>
      </c>
      <c r="P1" s="115" t="s">
        <v>121</v>
      </c>
      <c r="Q1" s="114" t="s">
        <v>122</v>
      </c>
      <c r="R1" s="115" t="s">
        <v>123</v>
      </c>
      <c r="S1" s="115" t="s">
        <v>124</v>
      </c>
      <c r="T1" s="115" t="s">
        <v>125</v>
      </c>
      <c r="U1" s="115" t="s">
        <v>126</v>
      </c>
      <c r="V1" s="115" t="s">
        <v>127</v>
      </c>
      <c r="W1" s="115" t="s">
        <v>128</v>
      </c>
      <c r="X1" s="115" t="s">
        <v>129</v>
      </c>
      <c r="Y1" s="115" t="s">
        <v>130</v>
      </c>
      <c r="Z1" s="115" t="s">
        <v>131</v>
      </c>
      <c r="AA1" s="115" t="s">
        <v>132</v>
      </c>
      <c r="AB1" s="116" t="s">
        <v>133</v>
      </c>
      <c r="AC1" s="117" t="s">
        <v>375</v>
      </c>
    </row>
    <row r="2" spans="1:29" ht="195" x14ac:dyDescent="0.25">
      <c r="A2" s="104">
        <v>0</v>
      </c>
      <c r="B2" s="105" t="s">
        <v>134</v>
      </c>
      <c r="C2" s="106">
        <v>41702</v>
      </c>
      <c r="D2" s="105" t="s">
        <v>135</v>
      </c>
      <c r="E2" s="107" t="s">
        <v>136</v>
      </c>
      <c r="F2" s="105" t="s">
        <v>137</v>
      </c>
      <c r="G2" s="105" t="s">
        <v>138</v>
      </c>
      <c r="H2" s="105" t="s">
        <v>6</v>
      </c>
      <c r="I2" s="105" t="s">
        <v>52</v>
      </c>
      <c r="J2" s="105" t="s">
        <v>139</v>
      </c>
      <c r="K2" s="105" t="s">
        <v>140</v>
      </c>
      <c r="L2" s="105" t="s">
        <v>72</v>
      </c>
      <c r="M2" s="105" t="s">
        <v>111</v>
      </c>
      <c r="N2" s="105" t="s">
        <v>141</v>
      </c>
      <c r="O2" s="105" t="s">
        <v>142</v>
      </c>
      <c r="P2" s="67" t="s">
        <v>143</v>
      </c>
      <c r="Q2" s="105" t="s">
        <v>144</v>
      </c>
      <c r="R2" s="67" t="s">
        <v>145</v>
      </c>
      <c r="S2" s="67" t="s">
        <v>145</v>
      </c>
      <c r="T2" s="67" t="s">
        <v>145</v>
      </c>
      <c r="U2" s="112"/>
      <c r="V2" s="103"/>
      <c r="W2" s="103"/>
      <c r="X2" s="103"/>
      <c r="Y2" s="103"/>
      <c r="Z2" s="103"/>
      <c r="AA2" s="103"/>
      <c r="AB2" s="67" t="s">
        <v>146</v>
      </c>
    </row>
    <row r="3" spans="1:29" ht="225" x14ac:dyDescent="0.25">
      <c r="A3" s="104">
        <v>1</v>
      </c>
      <c r="B3" s="67" t="s">
        <v>147</v>
      </c>
      <c r="C3" s="108">
        <v>41684</v>
      </c>
      <c r="D3" s="67" t="s">
        <v>148</v>
      </c>
      <c r="E3" s="67" t="s">
        <v>149</v>
      </c>
      <c r="F3" s="67" t="s">
        <v>150</v>
      </c>
      <c r="G3" s="67" t="s">
        <v>151</v>
      </c>
      <c r="H3" s="67" t="s">
        <v>152</v>
      </c>
      <c r="I3" s="67" t="s">
        <v>152</v>
      </c>
      <c r="J3" s="67" t="s">
        <v>153</v>
      </c>
      <c r="K3" s="67" t="s">
        <v>154</v>
      </c>
      <c r="L3" s="67" t="s">
        <v>71</v>
      </c>
      <c r="M3" s="67" t="s">
        <v>111</v>
      </c>
      <c r="N3" s="67" t="s">
        <v>141</v>
      </c>
      <c r="O3" s="67" t="s">
        <v>142</v>
      </c>
      <c r="P3" s="67" t="s">
        <v>155</v>
      </c>
      <c r="Q3" s="67" t="s">
        <v>156</v>
      </c>
      <c r="R3" s="67" t="s">
        <v>145</v>
      </c>
      <c r="S3" s="67" t="s">
        <v>145</v>
      </c>
      <c r="T3" s="67" t="s">
        <v>145</v>
      </c>
      <c r="U3" s="67" t="s">
        <v>157</v>
      </c>
      <c r="V3" s="67" t="s">
        <v>157</v>
      </c>
      <c r="W3" s="67" t="s">
        <v>57</v>
      </c>
      <c r="X3" s="67" t="s">
        <v>145</v>
      </c>
      <c r="Y3" s="67" t="s">
        <v>158</v>
      </c>
      <c r="Z3" s="67" t="s">
        <v>159</v>
      </c>
      <c r="AA3" t="s">
        <v>160</v>
      </c>
      <c r="AB3" t="s">
        <v>161</v>
      </c>
      <c r="AC3" s="67" t="s">
        <v>93</v>
      </c>
    </row>
    <row r="4" spans="1:29" ht="60" x14ac:dyDescent="0.25">
      <c r="A4" s="104">
        <v>2</v>
      </c>
      <c r="B4" s="67" t="s">
        <v>162</v>
      </c>
      <c r="C4" s="108">
        <v>41692</v>
      </c>
      <c r="D4" s="67" t="s">
        <v>163</v>
      </c>
      <c r="E4" s="67" t="s">
        <v>164</v>
      </c>
      <c r="F4" s="67" t="s">
        <v>165</v>
      </c>
      <c r="G4" s="67" t="s">
        <v>166</v>
      </c>
      <c r="H4" s="67" t="s">
        <v>5</v>
      </c>
      <c r="I4" s="67" t="s">
        <v>53</v>
      </c>
      <c r="J4" s="67" t="s">
        <v>139</v>
      </c>
      <c r="K4" s="67" t="s">
        <v>167</v>
      </c>
      <c r="L4" s="67" t="s">
        <v>71</v>
      </c>
      <c r="M4" s="67" t="s">
        <v>111</v>
      </c>
      <c r="N4" s="67" t="s">
        <v>141</v>
      </c>
      <c r="O4" s="67" t="s">
        <v>142</v>
      </c>
      <c r="P4" s="67" t="s">
        <v>168</v>
      </c>
      <c r="Q4" s="67" t="s">
        <v>169</v>
      </c>
      <c r="R4" s="67" t="s">
        <v>157</v>
      </c>
      <c r="S4" s="67" t="s">
        <v>145</v>
      </c>
      <c r="T4" s="67" t="s">
        <v>157</v>
      </c>
      <c r="U4" s="67" t="s">
        <v>157</v>
      </c>
      <c r="V4" s="67" t="s">
        <v>157</v>
      </c>
      <c r="W4" s="67" t="s">
        <v>58</v>
      </c>
      <c r="X4" s="67" t="s">
        <v>157</v>
      </c>
      <c r="Y4" s="67" t="s">
        <v>170</v>
      </c>
      <c r="Z4" s="67" t="s">
        <v>171</v>
      </c>
      <c r="AA4" s="67" t="s">
        <v>172</v>
      </c>
    </row>
    <row r="5" spans="1:29" ht="60" x14ac:dyDescent="0.25">
      <c r="A5" s="104">
        <v>3</v>
      </c>
      <c r="B5" s="67" t="s">
        <v>173</v>
      </c>
      <c r="C5" s="108">
        <v>41700</v>
      </c>
      <c r="D5" s="67" t="s">
        <v>174</v>
      </c>
      <c r="E5" s="67" t="s">
        <v>175</v>
      </c>
      <c r="F5" s="67" t="s">
        <v>176</v>
      </c>
      <c r="G5" s="67" t="s">
        <v>177</v>
      </c>
      <c r="H5" s="67" t="s">
        <v>24</v>
      </c>
      <c r="I5" s="67" t="s">
        <v>50</v>
      </c>
      <c r="J5" s="67" t="s">
        <v>139</v>
      </c>
      <c r="K5" s="67" t="s">
        <v>178</v>
      </c>
      <c r="L5" s="67" t="s">
        <v>71</v>
      </c>
      <c r="M5" s="67" t="s">
        <v>111</v>
      </c>
      <c r="N5" s="67" t="s">
        <v>141</v>
      </c>
      <c r="O5" s="67" t="s">
        <v>142</v>
      </c>
      <c r="P5" s="67" t="s">
        <v>179</v>
      </c>
      <c r="Q5" s="67" t="s">
        <v>180</v>
      </c>
      <c r="R5" s="67" t="s">
        <v>145</v>
      </c>
      <c r="S5" s="67" t="s">
        <v>145</v>
      </c>
      <c r="T5" s="67" t="s">
        <v>145</v>
      </c>
      <c r="U5" s="67" t="s">
        <v>157</v>
      </c>
      <c r="V5" s="67" t="s">
        <v>157</v>
      </c>
      <c r="W5" s="67" t="s">
        <v>59</v>
      </c>
      <c r="X5" s="67" t="s">
        <v>145</v>
      </c>
      <c r="Z5" s="67" t="s">
        <v>180</v>
      </c>
      <c r="AA5" s="67" t="s">
        <v>181</v>
      </c>
    </row>
    <row r="6" spans="1:29" ht="75" x14ac:dyDescent="0.25">
      <c r="A6" s="104">
        <v>4</v>
      </c>
      <c r="B6" s="67" t="s">
        <v>182</v>
      </c>
      <c r="C6" s="108">
        <v>41703</v>
      </c>
      <c r="D6" s="67" t="s">
        <v>183</v>
      </c>
      <c r="E6" s="109" t="s">
        <v>184</v>
      </c>
      <c r="F6" s="67" t="s">
        <v>185</v>
      </c>
      <c r="G6" s="67" t="s">
        <v>186</v>
      </c>
      <c r="H6" s="67" t="s">
        <v>5</v>
      </c>
      <c r="I6" s="67" t="s">
        <v>53</v>
      </c>
      <c r="J6" s="67" t="s">
        <v>139</v>
      </c>
      <c r="K6" s="67" t="s">
        <v>167</v>
      </c>
      <c r="L6" s="67" t="s">
        <v>71</v>
      </c>
      <c r="M6" s="67" t="s">
        <v>111</v>
      </c>
      <c r="N6" s="67" t="s">
        <v>141</v>
      </c>
      <c r="O6" s="67" t="s">
        <v>142</v>
      </c>
      <c r="P6" s="67" t="s">
        <v>187</v>
      </c>
      <c r="Q6" s="67" t="s">
        <v>188</v>
      </c>
      <c r="R6" s="67" t="s">
        <v>145</v>
      </c>
      <c r="S6" s="67" t="s">
        <v>145</v>
      </c>
      <c r="T6" s="67" t="s">
        <v>145</v>
      </c>
      <c r="U6" s="67" t="s">
        <v>157</v>
      </c>
      <c r="V6" s="67" t="s">
        <v>157</v>
      </c>
      <c r="W6" s="67" t="s">
        <v>58</v>
      </c>
      <c r="X6" s="67" t="s">
        <v>145</v>
      </c>
      <c r="Y6" s="67" t="s">
        <v>170</v>
      </c>
      <c r="Z6" t="s">
        <v>189</v>
      </c>
      <c r="AA6" s="67" t="s">
        <v>190</v>
      </c>
    </row>
    <row r="7" spans="1:29" ht="60" x14ac:dyDescent="0.25">
      <c r="A7" s="104">
        <v>5</v>
      </c>
      <c r="B7" s="67" t="s">
        <v>191</v>
      </c>
      <c r="C7" s="108">
        <v>41704</v>
      </c>
      <c r="D7" s="67" t="s">
        <v>192</v>
      </c>
      <c r="E7" s="67" t="s">
        <v>193</v>
      </c>
      <c r="F7" s="67" t="s">
        <v>194</v>
      </c>
      <c r="G7" s="67" t="s">
        <v>195</v>
      </c>
      <c r="H7" s="67" t="s">
        <v>6</v>
      </c>
      <c r="I7" s="67" t="s">
        <v>52</v>
      </c>
      <c r="J7" s="67" t="s">
        <v>139</v>
      </c>
      <c r="K7" s="67" t="s">
        <v>196</v>
      </c>
      <c r="L7" s="67" t="s">
        <v>71</v>
      </c>
      <c r="M7" s="67" t="s">
        <v>111</v>
      </c>
      <c r="N7" s="67" t="s">
        <v>141</v>
      </c>
      <c r="O7" s="67" t="s">
        <v>142</v>
      </c>
      <c r="P7" s="67" t="s">
        <v>197</v>
      </c>
      <c r="Q7" s="67" t="s">
        <v>198</v>
      </c>
      <c r="R7" s="67" t="s">
        <v>145</v>
      </c>
      <c r="S7" s="67" t="s">
        <v>145</v>
      </c>
      <c r="T7" s="67" t="s">
        <v>145</v>
      </c>
      <c r="U7" s="67" t="s">
        <v>157</v>
      </c>
      <c r="V7" s="67" t="s">
        <v>157</v>
      </c>
      <c r="W7" s="67" t="s">
        <v>60</v>
      </c>
      <c r="X7" s="67" t="s">
        <v>145</v>
      </c>
      <c r="Y7" s="67" t="s">
        <v>170</v>
      </c>
      <c r="Z7" t="s">
        <v>199</v>
      </c>
      <c r="AA7" s="67" t="s">
        <v>200</v>
      </c>
    </row>
    <row r="8" spans="1:29" ht="45" x14ac:dyDescent="0.25">
      <c r="A8" s="104">
        <v>6</v>
      </c>
      <c r="B8" s="67" t="s">
        <v>201</v>
      </c>
      <c r="C8" s="108">
        <v>41707</v>
      </c>
      <c r="D8" s="67" t="s">
        <v>202</v>
      </c>
      <c r="E8" s="67" t="s">
        <v>203</v>
      </c>
      <c r="F8" s="67" t="s">
        <v>204</v>
      </c>
      <c r="G8" s="67" t="s">
        <v>205</v>
      </c>
      <c r="H8" s="67" t="s">
        <v>7</v>
      </c>
      <c r="I8" s="67" t="s">
        <v>52</v>
      </c>
      <c r="J8" s="67" t="s">
        <v>139</v>
      </c>
      <c r="K8" s="67" t="s">
        <v>206</v>
      </c>
      <c r="L8" s="67" t="s">
        <v>71</v>
      </c>
      <c r="M8" s="67" t="s">
        <v>111</v>
      </c>
      <c r="N8" s="67" t="s">
        <v>141</v>
      </c>
      <c r="O8" s="67" t="s">
        <v>142</v>
      </c>
      <c r="P8" s="67" t="s">
        <v>207</v>
      </c>
      <c r="Q8" s="67" t="s">
        <v>208</v>
      </c>
      <c r="R8" s="67" t="s">
        <v>157</v>
      </c>
      <c r="S8" s="67" t="s">
        <v>145</v>
      </c>
      <c r="T8" s="67" t="s">
        <v>157</v>
      </c>
      <c r="U8" s="67"/>
      <c r="V8" s="67" t="s">
        <v>145</v>
      </c>
      <c r="W8" s="67" t="s">
        <v>145</v>
      </c>
      <c r="X8" s="67" t="s">
        <v>157</v>
      </c>
      <c r="Y8" s="67" t="s">
        <v>209</v>
      </c>
    </row>
    <row r="9" spans="1:29" ht="45" x14ac:dyDescent="0.25">
      <c r="A9" s="104" t="s">
        <v>210</v>
      </c>
      <c r="B9" s="67" t="s">
        <v>211</v>
      </c>
      <c r="C9" s="108">
        <v>41728</v>
      </c>
      <c r="D9" s="67" t="s">
        <v>212</v>
      </c>
      <c r="E9" s="67" t="s">
        <v>213</v>
      </c>
      <c r="F9" s="67" t="s">
        <v>214</v>
      </c>
      <c r="G9" s="67" t="s">
        <v>215</v>
      </c>
      <c r="H9" s="67" t="s">
        <v>5</v>
      </c>
      <c r="I9" s="67" t="s">
        <v>53</v>
      </c>
      <c r="J9" s="67" t="s">
        <v>139</v>
      </c>
      <c r="K9" s="67" t="s">
        <v>167</v>
      </c>
      <c r="L9" s="67" t="s">
        <v>71</v>
      </c>
      <c r="M9" s="67" t="s">
        <v>111</v>
      </c>
      <c r="N9" s="67" t="s">
        <v>141</v>
      </c>
      <c r="O9" s="67" t="s">
        <v>142</v>
      </c>
      <c r="P9" s="67" t="s">
        <v>216</v>
      </c>
      <c r="Q9" s="67" t="s">
        <v>217</v>
      </c>
      <c r="R9" s="67" t="s">
        <v>145</v>
      </c>
      <c r="S9" s="67" t="s">
        <v>145</v>
      </c>
      <c r="T9" s="67" t="s">
        <v>145</v>
      </c>
      <c r="U9" s="67" t="s">
        <v>157</v>
      </c>
      <c r="V9" s="67" t="s">
        <v>218</v>
      </c>
      <c r="W9" s="67" t="s">
        <v>61</v>
      </c>
      <c r="X9" s="67" t="s">
        <v>145</v>
      </c>
      <c r="Y9" s="67" t="s">
        <v>170</v>
      </c>
      <c r="Z9" s="110" t="s">
        <v>219</v>
      </c>
      <c r="AA9" t="s">
        <v>220</v>
      </c>
      <c r="AB9" t="s">
        <v>221</v>
      </c>
      <c r="AC9" t="s">
        <v>93</v>
      </c>
    </row>
    <row r="10" spans="1:29" ht="45" x14ac:dyDescent="0.25">
      <c r="A10" s="104">
        <v>8</v>
      </c>
      <c r="B10" s="67" t="s">
        <v>222</v>
      </c>
      <c r="C10" s="108">
        <v>41739</v>
      </c>
      <c r="D10" s="67" t="s">
        <v>223</v>
      </c>
      <c r="E10" s="67" t="s">
        <v>224</v>
      </c>
      <c r="F10" s="67" t="s">
        <v>225</v>
      </c>
      <c r="G10" s="67" t="s">
        <v>226</v>
      </c>
      <c r="H10" s="67" t="s">
        <v>9</v>
      </c>
      <c r="I10" s="67" t="s">
        <v>53</v>
      </c>
      <c r="J10" s="67" t="s">
        <v>139</v>
      </c>
      <c r="K10" s="67" t="s">
        <v>140</v>
      </c>
      <c r="L10" s="67" t="s">
        <v>71</v>
      </c>
      <c r="M10" s="67" t="s">
        <v>111</v>
      </c>
      <c r="N10" s="67" t="s">
        <v>141</v>
      </c>
      <c r="O10" s="67" t="s">
        <v>142</v>
      </c>
      <c r="P10" s="67" t="s">
        <v>227</v>
      </c>
      <c r="Q10" s="67" t="s">
        <v>228</v>
      </c>
      <c r="R10" s="67" t="s">
        <v>145</v>
      </c>
      <c r="S10" s="67" t="s">
        <v>145</v>
      </c>
      <c r="T10" s="67" t="s">
        <v>145</v>
      </c>
      <c r="U10" s="67" t="s">
        <v>157</v>
      </c>
      <c r="V10" s="67" t="s">
        <v>157</v>
      </c>
      <c r="W10" s="67" t="s">
        <v>61</v>
      </c>
      <c r="X10" s="67" t="s">
        <v>145</v>
      </c>
      <c r="Y10" s="67" t="s">
        <v>170</v>
      </c>
      <c r="Z10" s="110" t="s">
        <v>229</v>
      </c>
      <c r="AA10" s="67" t="s">
        <v>230</v>
      </c>
      <c r="AB10" t="s">
        <v>231</v>
      </c>
      <c r="AC10" t="s">
        <v>93</v>
      </c>
    </row>
    <row r="11" spans="1:29" ht="60" x14ac:dyDescent="0.25">
      <c r="A11" s="104">
        <v>9</v>
      </c>
      <c r="B11" s="67" t="s">
        <v>232</v>
      </c>
      <c r="C11" s="108">
        <v>41740</v>
      </c>
      <c r="D11" s="67" t="s">
        <v>233</v>
      </c>
      <c r="E11" s="67" t="s">
        <v>234</v>
      </c>
      <c r="F11" s="67" t="s">
        <v>235</v>
      </c>
      <c r="G11" s="67" t="s">
        <v>236</v>
      </c>
      <c r="H11" s="67" t="s">
        <v>6</v>
      </c>
      <c r="I11" s="67" t="s">
        <v>52</v>
      </c>
      <c r="J11" s="67" t="s">
        <v>139</v>
      </c>
      <c r="K11" s="67" t="s">
        <v>237</v>
      </c>
      <c r="L11" s="67" t="s">
        <v>71</v>
      </c>
      <c r="M11" s="67" t="s">
        <v>111</v>
      </c>
      <c r="N11" s="67" t="s">
        <v>141</v>
      </c>
      <c r="O11" s="67" t="s">
        <v>142</v>
      </c>
      <c r="P11" s="67" t="s">
        <v>238</v>
      </c>
      <c r="Q11" s="67" t="s">
        <v>239</v>
      </c>
      <c r="R11" s="67" t="s">
        <v>145</v>
      </c>
      <c r="S11" s="67" t="s">
        <v>145</v>
      </c>
      <c r="T11" s="67" t="s">
        <v>145</v>
      </c>
      <c r="U11" s="67" t="s">
        <v>157</v>
      </c>
      <c r="V11" s="67" t="s">
        <v>157</v>
      </c>
      <c r="W11" s="67" t="s">
        <v>60</v>
      </c>
      <c r="X11" s="67" t="s">
        <v>145</v>
      </c>
      <c r="Y11" s="67" t="s">
        <v>170</v>
      </c>
      <c r="Z11" s="67" t="s">
        <v>240</v>
      </c>
      <c r="AA11" s="67" t="s">
        <v>241</v>
      </c>
    </row>
    <row r="12" spans="1:29" ht="60" x14ac:dyDescent="0.25">
      <c r="A12" s="104">
        <v>10</v>
      </c>
      <c r="B12" s="67" t="s">
        <v>242</v>
      </c>
      <c r="C12" s="108">
        <v>41741</v>
      </c>
      <c r="D12" s="67" t="s">
        <v>243</v>
      </c>
      <c r="E12" s="67" t="s">
        <v>244</v>
      </c>
      <c r="F12" s="67" t="s">
        <v>245</v>
      </c>
      <c r="G12" s="67" t="s">
        <v>246</v>
      </c>
      <c r="H12" s="67" t="s">
        <v>26</v>
      </c>
      <c r="I12" s="67" t="s">
        <v>50</v>
      </c>
      <c r="J12" s="67" t="s">
        <v>139</v>
      </c>
      <c r="K12" s="67" t="s">
        <v>247</v>
      </c>
      <c r="L12" s="67" t="s">
        <v>71</v>
      </c>
      <c r="M12" s="67" t="s">
        <v>111</v>
      </c>
      <c r="N12" s="67" t="s">
        <v>141</v>
      </c>
      <c r="O12" s="67" t="s">
        <v>248</v>
      </c>
      <c r="P12" s="67" t="s">
        <v>249</v>
      </c>
      <c r="Q12" s="67" t="s">
        <v>250</v>
      </c>
      <c r="R12" s="67" t="s">
        <v>145</v>
      </c>
      <c r="S12" s="67" t="s">
        <v>145</v>
      </c>
      <c r="T12" s="67" t="s">
        <v>145</v>
      </c>
      <c r="U12" s="67"/>
      <c r="V12" s="67" t="s">
        <v>145</v>
      </c>
      <c r="W12" s="67" t="s">
        <v>251</v>
      </c>
      <c r="X12" s="67" t="s">
        <v>157</v>
      </c>
      <c r="Y12" s="67" t="s">
        <v>252</v>
      </c>
    </row>
    <row r="13" spans="1:29" ht="45" x14ac:dyDescent="0.25">
      <c r="A13" s="104">
        <v>11</v>
      </c>
      <c r="B13" s="67" t="s">
        <v>253</v>
      </c>
      <c r="C13" s="108">
        <v>41742</v>
      </c>
      <c r="D13" s="67" t="s">
        <v>254</v>
      </c>
      <c r="E13" s="67" t="s">
        <v>255</v>
      </c>
      <c r="F13" s="67" t="s">
        <v>256</v>
      </c>
      <c r="G13" s="67" t="s">
        <v>257</v>
      </c>
      <c r="H13" s="67" t="s">
        <v>9</v>
      </c>
      <c r="I13" s="67" t="s">
        <v>53</v>
      </c>
      <c r="J13" s="67" t="s">
        <v>139</v>
      </c>
      <c r="K13" s="67" t="s">
        <v>258</v>
      </c>
      <c r="L13" s="67" t="s">
        <v>71</v>
      </c>
      <c r="M13" s="67" t="s">
        <v>111</v>
      </c>
      <c r="N13" s="67" t="s">
        <v>141</v>
      </c>
      <c r="O13" s="67" t="s">
        <v>259</v>
      </c>
      <c r="P13" s="67" t="s">
        <v>260</v>
      </c>
      <c r="Q13" s="67" t="s">
        <v>261</v>
      </c>
      <c r="R13" s="67" t="s">
        <v>157</v>
      </c>
      <c r="S13" s="67" t="s">
        <v>145</v>
      </c>
      <c r="T13" s="67" t="s">
        <v>157</v>
      </c>
      <c r="U13" s="67"/>
      <c r="V13" s="67" t="s">
        <v>145</v>
      </c>
      <c r="W13" s="67" t="s">
        <v>145</v>
      </c>
      <c r="X13" s="67" t="s">
        <v>157</v>
      </c>
      <c r="Y13" s="67" t="s">
        <v>262</v>
      </c>
    </row>
    <row r="14" spans="1:29" ht="60" x14ac:dyDescent="0.25">
      <c r="A14" s="104">
        <v>12</v>
      </c>
      <c r="B14" s="67" t="s">
        <v>263</v>
      </c>
      <c r="C14" s="108">
        <v>41747</v>
      </c>
      <c r="D14" s="67" t="s">
        <v>264</v>
      </c>
      <c r="E14" s="67" t="s">
        <v>265</v>
      </c>
      <c r="F14" s="67" t="s">
        <v>266</v>
      </c>
      <c r="G14" s="67" t="s">
        <v>267</v>
      </c>
      <c r="H14" s="67" t="s">
        <v>10</v>
      </c>
      <c r="I14" s="67" t="s">
        <v>49</v>
      </c>
      <c r="J14" s="67" t="s">
        <v>139</v>
      </c>
      <c r="K14" s="67" t="s">
        <v>268</v>
      </c>
      <c r="L14" s="67" t="s">
        <v>71</v>
      </c>
      <c r="M14" s="67" t="s">
        <v>111</v>
      </c>
      <c r="N14" s="67" t="s">
        <v>141</v>
      </c>
      <c r="O14" s="67" t="s">
        <v>142</v>
      </c>
      <c r="P14" s="67" t="s">
        <v>269</v>
      </c>
      <c r="Q14" s="67" t="s">
        <v>144</v>
      </c>
      <c r="R14" s="67" t="s">
        <v>144</v>
      </c>
      <c r="S14" s="67" t="s">
        <v>144</v>
      </c>
      <c r="T14" s="67" t="s">
        <v>144</v>
      </c>
      <c r="U14" s="67"/>
      <c r="V14" s="67" t="s">
        <v>144</v>
      </c>
      <c r="W14" s="67" t="s">
        <v>61</v>
      </c>
      <c r="X14" s="67" t="s">
        <v>144</v>
      </c>
      <c r="Y14" s="67" t="s">
        <v>170</v>
      </c>
    </row>
    <row r="15" spans="1:29" ht="45" x14ac:dyDescent="0.25">
      <c r="A15" s="104">
        <v>13</v>
      </c>
      <c r="B15" s="67" t="s">
        <v>270</v>
      </c>
      <c r="C15" s="108">
        <v>41861</v>
      </c>
      <c r="D15" s="67" t="s">
        <v>271</v>
      </c>
      <c r="E15" s="67" t="s">
        <v>272</v>
      </c>
      <c r="F15" s="67" t="s">
        <v>273</v>
      </c>
      <c r="G15" s="67" t="s">
        <v>274</v>
      </c>
      <c r="H15" s="67" t="s">
        <v>5</v>
      </c>
      <c r="I15" s="67" t="s">
        <v>53</v>
      </c>
      <c r="J15" s="67" t="s">
        <v>139</v>
      </c>
      <c r="K15" s="67" t="s">
        <v>275</v>
      </c>
      <c r="L15" s="67" t="s">
        <v>71</v>
      </c>
      <c r="M15" s="67" t="s">
        <v>111</v>
      </c>
      <c r="N15" s="67" t="s">
        <v>141</v>
      </c>
      <c r="O15" s="67" t="s">
        <v>142</v>
      </c>
      <c r="P15" s="67" t="s">
        <v>276</v>
      </c>
      <c r="Q15" s="67" t="s">
        <v>144</v>
      </c>
      <c r="R15" s="67" t="s">
        <v>145</v>
      </c>
      <c r="S15" s="67" t="s">
        <v>144</v>
      </c>
      <c r="T15" s="67" t="s">
        <v>145</v>
      </c>
      <c r="U15" s="67"/>
      <c r="V15" s="67" t="s">
        <v>145</v>
      </c>
      <c r="W15" s="67" t="s">
        <v>144</v>
      </c>
      <c r="X15" s="67" t="s">
        <v>145</v>
      </c>
      <c r="Y15" s="67" t="s">
        <v>170</v>
      </c>
    </row>
    <row r="16" spans="1:29" ht="60" x14ac:dyDescent="0.25">
      <c r="A16" s="104">
        <v>14</v>
      </c>
      <c r="B16" s="67" t="s">
        <v>277</v>
      </c>
      <c r="C16" s="108">
        <v>41876</v>
      </c>
      <c r="D16" s="67" t="s">
        <v>278</v>
      </c>
      <c r="E16" s="67" t="s">
        <v>279</v>
      </c>
      <c r="F16" s="67" t="s">
        <v>280</v>
      </c>
      <c r="G16" s="67" t="s">
        <v>281</v>
      </c>
      <c r="H16" s="67" t="s">
        <v>12</v>
      </c>
      <c r="I16" s="67" t="s">
        <v>50</v>
      </c>
      <c r="J16" s="67" t="s">
        <v>139</v>
      </c>
      <c r="K16" s="67" t="s">
        <v>282</v>
      </c>
      <c r="L16" s="67" t="s">
        <v>71</v>
      </c>
      <c r="M16" s="67" t="s">
        <v>111</v>
      </c>
      <c r="N16" s="67" t="s">
        <v>141</v>
      </c>
      <c r="O16" s="67" t="s">
        <v>142</v>
      </c>
      <c r="P16" s="67" t="s">
        <v>283</v>
      </c>
      <c r="Q16" s="67" t="s">
        <v>144</v>
      </c>
      <c r="R16" s="67" t="s">
        <v>144</v>
      </c>
      <c r="S16" s="67" t="s">
        <v>144</v>
      </c>
      <c r="T16" s="67" t="s">
        <v>144</v>
      </c>
      <c r="U16" s="67"/>
      <c r="V16" s="67" t="s">
        <v>144</v>
      </c>
      <c r="W16" s="67" t="s">
        <v>144</v>
      </c>
      <c r="X16" s="67" t="s">
        <v>144</v>
      </c>
      <c r="Y16" s="67" t="s">
        <v>144</v>
      </c>
    </row>
    <row r="17" spans="1:29" ht="75" x14ac:dyDescent="0.25">
      <c r="A17" s="104">
        <v>15</v>
      </c>
      <c r="B17" s="67" t="s">
        <v>284</v>
      </c>
      <c r="C17" s="108">
        <v>41879</v>
      </c>
      <c r="D17" s="67" t="s">
        <v>285</v>
      </c>
      <c r="E17" s="67" t="s">
        <v>286</v>
      </c>
      <c r="F17" s="67" t="s">
        <v>214</v>
      </c>
      <c r="G17" s="67" t="s">
        <v>215</v>
      </c>
      <c r="H17" s="67" t="s">
        <v>5</v>
      </c>
      <c r="I17" s="67" t="s">
        <v>53</v>
      </c>
      <c r="J17" s="67" t="s">
        <v>139</v>
      </c>
      <c r="K17" s="67" t="s">
        <v>140</v>
      </c>
      <c r="L17" s="67" t="s">
        <v>71</v>
      </c>
      <c r="M17" s="67" t="s">
        <v>111</v>
      </c>
      <c r="N17" s="67" t="s">
        <v>141</v>
      </c>
      <c r="O17" s="67" t="s">
        <v>142</v>
      </c>
      <c r="P17" s="67" t="s">
        <v>287</v>
      </c>
      <c r="Q17" s="67" t="s">
        <v>288</v>
      </c>
      <c r="R17" s="67" t="s">
        <v>157</v>
      </c>
      <c r="S17" s="67" t="s">
        <v>145</v>
      </c>
      <c r="T17" s="67" t="s">
        <v>289</v>
      </c>
      <c r="U17" s="67" t="s">
        <v>157</v>
      </c>
      <c r="V17" s="67" t="s">
        <v>157</v>
      </c>
      <c r="W17" s="67" t="s">
        <v>61</v>
      </c>
      <c r="X17" s="67" t="s">
        <v>157</v>
      </c>
      <c r="Y17" s="67"/>
      <c r="Z17" s="110" t="s">
        <v>290</v>
      </c>
      <c r="AA17" s="67" t="s">
        <v>220</v>
      </c>
      <c r="AB17" t="s">
        <v>291</v>
      </c>
      <c r="AC17" s="67" t="s">
        <v>93</v>
      </c>
    </row>
    <row r="18" spans="1:29" ht="60" x14ac:dyDescent="0.25">
      <c r="A18" s="104">
        <v>16</v>
      </c>
      <c r="B18" s="67" t="s">
        <v>292</v>
      </c>
      <c r="C18" s="108">
        <v>41889</v>
      </c>
      <c r="D18" s="67" t="s">
        <v>293</v>
      </c>
      <c r="E18" s="67" t="s">
        <v>294</v>
      </c>
      <c r="F18" s="67" t="s">
        <v>295</v>
      </c>
      <c r="G18" s="67" t="s">
        <v>296</v>
      </c>
      <c r="H18" s="67" t="s">
        <v>7</v>
      </c>
      <c r="I18" s="67" t="s">
        <v>52</v>
      </c>
      <c r="J18" s="67" t="s">
        <v>139</v>
      </c>
      <c r="K18" s="67" t="s">
        <v>297</v>
      </c>
      <c r="L18" s="67" t="s">
        <v>71</v>
      </c>
      <c r="M18" s="67" t="s">
        <v>111</v>
      </c>
      <c r="N18" s="67" t="s">
        <v>141</v>
      </c>
      <c r="O18" s="67" t="s">
        <v>142</v>
      </c>
      <c r="P18" s="67" t="s">
        <v>298</v>
      </c>
      <c r="Q18" s="67" t="s">
        <v>299</v>
      </c>
      <c r="R18" s="67" t="s">
        <v>157</v>
      </c>
      <c r="S18" s="67" t="s">
        <v>145</v>
      </c>
      <c r="T18" s="67" t="s">
        <v>145</v>
      </c>
      <c r="U18" s="67"/>
      <c r="V18" s="67" t="s">
        <v>145</v>
      </c>
      <c r="W18" s="67" t="s">
        <v>61</v>
      </c>
      <c r="X18" s="67" t="s">
        <v>145</v>
      </c>
      <c r="Y18" s="67" t="s">
        <v>170</v>
      </c>
    </row>
    <row r="19" spans="1:29" ht="150" x14ac:dyDescent="0.25">
      <c r="A19" s="104">
        <v>17</v>
      </c>
      <c r="B19" s="67" t="s">
        <v>300</v>
      </c>
      <c r="C19" s="108">
        <v>41897</v>
      </c>
      <c r="D19" s="67" t="s">
        <v>301</v>
      </c>
      <c r="E19" s="111" t="s">
        <v>302</v>
      </c>
      <c r="F19" s="67" t="s">
        <v>303</v>
      </c>
      <c r="G19" s="67" t="s">
        <v>304</v>
      </c>
      <c r="H19" s="67" t="s">
        <v>22</v>
      </c>
      <c r="I19" s="67" t="s">
        <v>52</v>
      </c>
      <c r="J19" s="67" t="s">
        <v>139</v>
      </c>
      <c r="K19" s="67" t="s">
        <v>305</v>
      </c>
      <c r="L19" s="67" t="s">
        <v>71</v>
      </c>
      <c r="M19" s="67" t="s">
        <v>111</v>
      </c>
      <c r="N19" s="67" t="s">
        <v>306</v>
      </c>
      <c r="O19" s="67" t="s">
        <v>307</v>
      </c>
      <c r="P19" s="67" t="s">
        <v>308</v>
      </c>
      <c r="Q19" s="110" t="s">
        <v>309</v>
      </c>
      <c r="R19" s="67" t="s">
        <v>145</v>
      </c>
      <c r="S19" s="67" t="s">
        <v>145</v>
      </c>
      <c r="T19" s="67" t="s">
        <v>145</v>
      </c>
      <c r="U19" s="67" t="s">
        <v>157</v>
      </c>
      <c r="V19" s="67" t="s">
        <v>310</v>
      </c>
      <c r="W19" s="67" t="s">
        <v>77</v>
      </c>
      <c r="X19" s="67" t="s">
        <v>157</v>
      </c>
      <c r="Y19" s="67" t="s">
        <v>311</v>
      </c>
      <c r="Z19" s="110" t="s">
        <v>312</v>
      </c>
      <c r="AA19" s="67" t="s">
        <v>313</v>
      </c>
      <c r="AB19" t="s">
        <v>314</v>
      </c>
      <c r="AC19" s="67" t="s">
        <v>93</v>
      </c>
    </row>
    <row r="20" spans="1:29" ht="60" x14ac:dyDescent="0.25">
      <c r="A20">
        <v>18</v>
      </c>
      <c r="B20" s="67" t="s">
        <v>315</v>
      </c>
      <c r="C20" s="108">
        <v>41905</v>
      </c>
      <c r="D20" s="67" t="s">
        <v>316</v>
      </c>
      <c r="E20" s="67" t="s">
        <v>317</v>
      </c>
      <c r="F20" s="67" t="s">
        <v>318</v>
      </c>
      <c r="G20" s="67" t="s">
        <v>3</v>
      </c>
      <c r="H20" s="67" t="s">
        <v>152</v>
      </c>
      <c r="I20" s="67" t="s">
        <v>152</v>
      </c>
      <c r="J20" s="67" t="s">
        <v>152</v>
      </c>
      <c r="K20" s="67" t="s">
        <v>319</v>
      </c>
      <c r="L20" s="67" t="s">
        <v>71</v>
      </c>
      <c r="M20" s="67" t="s">
        <v>3</v>
      </c>
      <c r="N20" s="67" t="s">
        <v>141</v>
      </c>
      <c r="O20" s="67" t="s">
        <v>320</v>
      </c>
      <c r="P20" s="67" t="s">
        <v>321</v>
      </c>
      <c r="Q20" s="67" t="s">
        <v>322</v>
      </c>
      <c r="R20" s="67" t="s">
        <v>145</v>
      </c>
      <c r="S20" s="67" t="s">
        <v>145</v>
      </c>
      <c r="T20" s="67" t="s">
        <v>145</v>
      </c>
      <c r="U20" s="67"/>
      <c r="V20" s="67" t="s">
        <v>145</v>
      </c>
      <c r="W20" s="67" t="s">
        <v>145</v>
      </c>
      <c r="X20" s="67" t="s">
        <v>157</v>
      </c>
      <c r="Y20" s="67" t="s">
        <v>323</v>
      </c>
    </row>
    <row r="21" spans="1:29" ht="60" x14ac:dyDescent="0.25">
      <c r="A21" s="104">
        <v>19</v>
      </c>
      <c r="B21" s="67" t="s">
        <v>324</v>
      </c>
      <c r="C21" s="108">
        <v>41909</v>
      </c>
      <c r="D21" s="67" t="s">
        <v>325</v>
      </c>
      <c r="E21" s="67" t="s">
        <v>326</v>
      </c>
      <c r="F21" s="67" t="s">
        <v>327</v>
      </c>
      <c r="G21" s="67" t="s">
        <v>328</v>
      </c>
      <c r="H21" s="67" t="s">
        <v>11</v>
      </c>
      <c r="I21" s="67" t="s">
        <v>53</v>
      </c>
      <c r="J21" s="67" t="s">
        <v>139</v>
      </c>
      <c r="K21" s="67" t="s">
        <v>268</v>
      </c>
      <c r="L21" s="67" t="s">
        <v>71</v>
      </c>
      <c r="M21" s="67" t="s">
        <v>111</v>
      </c>
      <c r="N21" s="67" t="s">
        <v>141</v>
      </c>
      <c r="O21" s="67" t="s">
        <v>248</v>
      </c>
      <c r="P21" s="67" t="s">
        <v>329</v>
      </c>
      <c r="Q21" s="67" t="s">
        <v>330</v>
      </c>
      <c r="R21" s="67" t="s">
        <v>145</v>
      </c>
      <c r="S21" s="67" t="s">
        <v>145</v>
      </c>
      <c r="T21" s="67" t="s">
        <v>145</v>
      </c>
      <c r="U21" s="67" t="s">
        <v>157</v>
      </c>
      <c r="V21" s="67" t="s">
        <v>157</v>
      </c>
      <c r="W21" s="67" t="s">
        <v>61</v>
      </c>
      <c r="X21" s="67" t="s">
        <v>157</v>
      </c>
      <c r="Y21" s="67" t="s">
        <v>233</v>
      </c>
      <c r="Z21" s="110" t="s">
        <v>331</v>
      </c>
      <c r="AA21" s="67" t="s">
        <v>332</v>
      </c>
      <c r="AB21" t="s">
        <v>333</v>
      </c>
      <c r="AC21" s="67" t="s">
        <v>93</v>
      </c>
    </row>
    <row r="22" spans="1:29" ht="75" x14ac:dyDescent="0.25">
      <c r="A22" s="104">
        <v>20</v>
      </c>
      <c r="B22" s="67" t="s">
        <v>334</v>
      </c>
      <c r="C22" s="108">
        <v>41927</v>
      </c>
      <c r="D22" s="67" t="s">
        <v>335</v>
      </c>
      <c r="E22" s="67" t="s">
        <v>336</v>
      </c>
      <c r="F22" s="67" t="s">
        <v>337</v>
      </c>
      <c r="G22" s="67" t="s">
        <v>338</v>
      </c>
      <c r="H22" s="67" t="s">
        <v>6</v>
      </c>
      <c r="I22" s="67" t="s">
        <v>52</v>
      </c>
      <c r="J22" s="67" t="s">
        <v>139</v>
      </c>
      <c r="K22" s="67" t="s">
        <v>339</v>
      </c>
      <c r="L22" s="67" t="s">
        <v>71</v>
      </c>
      <c r="M22" s="67" t="s">
        <v>111</v>
      </c>
      <c r="N22" s="67" t="s">
        <v>141</v>
      </c>
      <c r="O22" s="67" t="s">
        <v>248</v>
      </c>
      <c r="P22" s="67" t="s">
        <v>340</v>
      </c>
      <c r="Q22" s="67" t="s">
        <v>144</v>
      </c>
      <c r="R22" s="67" t="s">
        <v>145</v>
      </c>
      <c r="S22" s="67" t="s">
        <v>145</v>
      </c>
      <c r="T22" s="67" t="s">
        <v>145</v>
      </c>
      <c r="U22" s="67"/>
      <c r="V22" s="67" t="s">
        <v>145</v>
      </c>
      <c r="W22" s="67" t="s">
        <v>60</v>
      </c>
      <c r="X22" s="67" t="s">
        <v>157</v>
      </c>
      <c r="Y22" s="67" t="s">
        <v>341</v>
      </c>
    </row>
    <row r="23" spans="1:29" ht="60" x14ac:dyDescent="0.25">
      <c r="A23" s="104">
        <v>21</v>
      </c>
      <c r="B23" s="67" t="s">
        <v>342</v>
      </c>
      <c r="C23" s="108">
        <v>41927</v>
      </c>
      <c r="D23" s="67" t="s">
        <v>343</v>
      </c>
      <c r="E23" s="67" t="s">
        <v>344</v>
      </c>
      <c r="F23" s="67" t="s">
        <v>345</v>
      </c>
      <c r="G23" s="67" t="s">
        <v>346</v>
      </c>
      <c r="H23" s="67" t="s">
        <v>8</v>
      </c>
      <c r="I23" s="67" t="s">
        <v>52</v>
      </c>
      <c r="J23" s="67" t="s">
        <v>139</v>
      </c>
      <c r="K23" s="67" t="s">
        <v>347</v>
      </c>
      <c r="L23" s="67" t="s">
        <v>71</v>
      </c>
      <c r="M23" s="67" t="s">
        <v>111</v>
      </c>
      <c r="N23" s="67" t="s">
        <v>141</v>
      </c>
      <c r="O23" s="67" t="s">
        <v>142</v>
      </c>
      <c r="P23" s="67" t="s">
        <v>348</v>
      </c>
      <c r="Q23" s="67" t="s">
        <v>349</v>
      </c>
      <c r="R23" s="67" t="s">
        <v>145</v>
      </c>
      <c r="S23" s="67" t="s">
        <v>145</v>
      </c>
      <c r="T23" s="67" t="s">
        <v>145</v>
      </c>
      <c r="U23" s="67" t="s">
        <v>157</v>
      </c>
      <c r="V23" s="67" t="s">
        <v>310</v>
      </c>
      <c r="W23" s="67" t="s">
        <v>62</v>
      </c>
      <c r="X23" s="67" t="s">
        <v>145</v>
      </c>
      <c r="Y23" s="67" t="s">
        <v>145</v>
      </c>
      <c r="Z23" s="110" t="s">
        <v>350</v>
      </c>
      <c r="AA23" t="s">
        <v>351</v>
      </c>
      <c r="AB23" t="s">
        <v>352</v>
      </c>
      <c r="AC23" t="s">
        <v>93</v>
      </c>
    </row>
    <row r="24" spans="1:29" ht="60" x14ac:dyDescent="0.25">
      <c r="A24" s="104">
        <v>22</v>
      </c>
      <c r="B24" s="67" t="s">
        <v>353</v>
      </c>
      <c r="C24" s="108">
        <v>41937</v>
      </c>
      <c r="D24" s="67" t="s">
        <v>354</v>
      </c>
      <c r="E24" s="67" t="s">
        <v>355</v>
      </c>
      <c r="F24" s="67" t="s">
        <v>356</v>
      </c>
      <c r="G24" s="67" t="s">
        <v>215</v>
      </c>
      <c r="H24" s="67" t="s">
        <v>5</v>
      </c>
      <c r="I24" s="67" t="s">
        <v>53</v>
      </c>
      <c r="J24" s="67" t="s">
        <v>139</v>
      </c>
      <c r="K24" s="67" t="s">
        <v>319</v>
      </c>
      <c r="L24" s="67" t="s">
        <v>71</v>
      </c>
      <c r="M24" s="67" t="s">
        <v>111</v>
      </c>
      <c r="N24" s="67" t="s">
        <v>141</v>
      </c>
      <c r="O24" s="67" t="s">
        <v>142</v>
      </c>
      <c r="P24" s="67" t="s">
        <v>357</v>
      </c>
      <c r="Q24" s="67" t="s">
        <v>358</v>
      </c>
      <c r="R24" s="67" t="s">
        <v>145</v>
      </c>
      <c r="S24" s="67" t="s">
        <v>145</v>
      </c>
      <c r="T24" s="67" t="s">
        <v>145</v>
      </c>
      <c r="U24" s="67"/>
      <c r="V24" s="67" t="s">
        <v>145</v>
      </c>
      <c r="W24" s="67" t="s">
        <v>145</v>
      </c>
      <c r="X24" s="67" t="s">
        <v>157</v>
      </c>
      <c r="Y24" s="67" t="s">
        <v>170</v>
      </c>
    </row>
    <row r="25" spans="1:29" ht="60" x14ac:dyDescent="0.25">
      <c r="A25">
        <v>23</v>
      </c>
      <c r="B25" s="67" t="s">
        <v>359</v>
      </c>
      <c r="C25" s="108">
        <v>41802</v>
      </c>
      <c r="D25" s="67" t="s">
        <v>360</v>
      </c>
      <c r="E25" s="67" t="s">
        <v>361</v>
      </c>
      <c r="F25" s="67" t="s">
        <v>318</v>
      </c>
      <c r="G25" s="67" t="s">
        <v>3</v>
      </c>
      <c r="H25" s="67" t="s">
        <v>152</v>
      </c>
      <c r="I25" s="67" t="s">
        <v>152</v>
      </c>
      <c r="J25" s="67" t="s">
        <v>152</v>
      </c>
      <c r="K25" s="67" t="s">
        <v>362</v>
      </c>
      <c r="L25" s="67" t="s">
        <v>71</v>
      </c>
      <c r="M25" s="67" t="s">
        <v>3</v>
      </c>
      <c r="N25" s="67" t="s">
        <v>141</v>
      </c>
      <c r="O25" s="67" t="s">
        <v>142</v>
      </c>
      <c r="P25" s="67" t="s">
        <v>363</v>
      </c>
      <c r="Q25" s="67" t="s">
        <v>358</v>
      </c>
      <c r="R25" s="67" t="s">
        <v>145</v>
      </c>
      <c r="S25" s="67" t="s">
        <v>145</v>
      </c>
      <c r="T25" s="67" t="s">
        <v>145</v>
      </c>
      <c r="U25" s="67"/>
      <c r="V25" s="67" t="s">
        <v>145</v>
      </c>
      <c r="W25" s="67" t="s">
        <v>145</v>
      </c>
      <c r="X25" s="67" t="s">
        <v>145</v>
      </c>
      <c r="Y25" s="67" t="s">
        <v>145</v>
      </c>
    </row>
    <row r="26" spans="1:29" ht="60" x14ac:dyDescent="0.25">
      <c r="A26" s="104">
        <v>24</v>
      </c>
      <c r="B26" s="67" t="s">
        <v>364</v>
      </c>
      <c r="C26" s="108">
        <v>41805</v>
      </c>
      <c r="D26" s="67" t="s">
        <v>365</v>
      </c>
      <c r="E26" s="67" t="s">
        <v>366</v>
      </c>
      <c r="F26" s="67" t="s">
        <v>367</v>
      </c>
      <c r="G26" s="67" t="s">
        <v>368</v>
      </c>
      <c r="H26" s="67" t="s">
        <v>8</v>
      </c>
      <c r="I26" s="67" t="s">
        <v>52</v>
      </c>
      <c r="J26" s="67" t="s">
        <v>139</v>
      </c>
      <c r="K26" s="67" t="s">
        <v>362</v>
      </c>
      <c r="L26" s="67" t="s">
        <v>71</v>
      </c>
      <c r="M26" s="67" t="s">
        <v>111</v>
      </c>
      <c r="N26" s="67" t="s">
        <v>141</v>
      </c>
      <c r="O26" s="67" t="s">
        <v>142</v>
      </c>
      <c r="P26" s="67" t="s">
        <v>369</v>
      </c>
      <c r="Q26" s="67" t="s">
        <v>358</v>
      </c>
      <c r="R26" s="67" t="s">
        <v>370</v>
      </c>
      <c r="S26" s="67" t="s">
        <v>145</v>
      </c>
      <c r="T26" s="67" t="s">
        <v>371</v>
      </c>
      <c r="U26" s="67"/>
      <c r="V26" s="67" t="s">
        <v>145</v>
      </c>
      <c r="W26" s="67" t="s">
        <v>145</v>
      </c>
      <c r="X26" s="67" t="s">
        <v>157</v>
      </c>
      <c r="Y26" s="67" t="s">
        <v>170</v>
      </c>
    </row>
    <row r="27" spans="1:29" ht="75" x14ac:dyDescent="0.25">
      <c r="A27">
        <v>25</v>
      </c>
      <c r="B27" s="67" t="s">
        <v>372</v>
      </c>
      <c r="C27" s="108">
        <v>41808</v>
      </c>
      <c r="D27" s="67" t="s">
        <v>365</v>
      </c>
      <c r="E27" s="67" t="s">
        <v>373</v>
      </c>
      <c r="F27" s="67" t="s">
        <v>367</v>
      </c>
      <c r="G27" s="67" t="s">
        <v>3</v>
      </c>
      <c r="H27" s="67" t="s">
        <v>152</v>
      </c>
      <c r="I27" s="67" t="s">
        <v>152</v>
      </c>
      <c r="J27" s="67" t="s">
        <v>152</v>
      </c>
      <c r="K27" s="67" t="s">
        <v>362</v>
      </c>
      <c r="L27" s="67" t="s">
        <v>71</v>
      </c>
      <c r="M27" s="67" t="s">
        <v>3</v>
      </c>
      <c r="N27" s="67" t="s">
        <v>141</v>
      </c>
      <c r="O27" s="67" t="s">
        <v>142</v>
      </c>
      <c r="P27" s="67" t="s">
        <v>374</v>
      </c>
      <c r="Q27" s="67" t="s">
        <v>358</v>
      </c>
      <c r="R27" s="67" t="s">
        <v>145</v>
      </c>
      <c r="S27" s="67" t="s">
        <v>145</v>
      </c>
      <c r="T27" s="67" t="s">
        <v>145</v>
      </c>
      <c r="U27" s="67"/>
      <c r="V27" s="67" t="s">
        <v>145</v>
      </c>
      <c r="W27" s="67" t="s">
        <v>145</v>
      </c>
      <c r="X27" s="67" t="s">
        <v>145</v>
      </c>
      <c r="Y27" s="67" t="s">
        <v>145</v>
      </c>
    </row>
    <row r="28" spans="1:29" x14ac:dyDescent="0.25">
      <c r="B28" s="67"/>
      <c r="C28" s="67"/>
      <c r="D28" s="67"/>
      <c r="E28" s="67"/>
      <c r="F28" s="67"/>
      <c r="G28" s="67"/>
      <c r="H28" s="67"/>
      <c r="I28" s="67"/>
      <c r="J28" s="67"/>
      <c r="K28" s="67"/>
      <c r="L28" s="67"/>
      <c r="M28" s="67"/>
      <c r="N28" s="67"/>
      <c r="O28" s="67"/>
      <c r="P28" s="67"/>
      <c r="Q28" s="67"/>
      <c r="R28" s="67"/>
      <c r="S28" s="67"/>
    </row>
    <row r="29" spans="1:29" ht="60" x14ac:dyDescent="0.25">
      <c r="A29">
        <v>1</v>
      </c>
      <c r="B29" s="67" t="s">
        <v>376</v>
      </c>
      <c r="C29" s="108">
        <v>42025</v>
      </c>
      <c r="D29" s="67" t="s">
        <v>285</v>
      </c>
      <c r="E29" s="67" t="s">
        <v>377</v>
      </c>
      <c r="F29" s="67" t="s">
        <v>3</v>
      </c>
      <c r="G29" s="67" t="s">
        <v>3</v>
      </c>
      <c r="H29" s="67" t="s">
        <v>3</v>
      </c>
      <c r="I29" s="67" t="s">
        <v>3</v>
      </c>
      <c r="J29" s="67" t="s">
        <v>3</v>
      </c>
      <c r="K29" s="67" t="s">
        <v>3</v>
      </c>
      <c r="L29" s="67" t="s">
        <v>71</v>
      </c>
      <c r="M29" s="67" t="s">
        <v>3</v>
      </c>
      <c r="N29" s="67" t="s">
        <v>141</v>
      </c>
      <c r="O29" s="67" t="s">
        <v>3</v>
      </c>
      <c r="P29" s="67" t="s">
        <v>378</v>
      </c>
      <c r="Q29" s="67" t="s">
        <v>379</v>
      </c>
      <c r="R29" s="67" t="s">
        <v>145</v>
      </c>
      <c r="S29" s="67" t="s">
        <v>145</v>
      </c>
      <c r="T29" s="67" t="s">
        <v>145</v>
      </c>
      <c r="U29" s="67"/>
      <c r="V29" s="67" t="s">
        <v>145</v>
      </c>
      <c r="W29" s="67" t="s">
        <v>145</v>
      </c>
      <c r="X29" s="67" t="s">
        <v>145</v>
      </c>
      <c r="Y29" s="67" t="s">
        <v>145</v>
      </c>
    </row>
    <row r="30" spans="1:29" ht="45" x14ac:dyDescent="0.25">
      <c r="A30" s="104">
        <v>2</v>
      </c>
      <c r="B30" s="67" t="s">
        <v>380</v>
      </c>
      <c r="C30" s="108">
        <v>42049</v>
      </c>
      <c r="D30" s="67" t="s">
        <v>381</v>
      </c>
      <c r="E30" s="67" t="s">
        <v>382</v>
      </c>
      <c r="F30" s="67" t="s">
        <v>383</v>
      </c>
      <c r="G30" s="67" t="s">
        <v>384</v>
      </c>
      <c r="H30" s="67" t="s">
        <v>5</v>
      </c>
      <c r="I30" s="67" t="s">
        <v>53</v>
      </c>
      <c r="J30" s="67" t="s">
        <v>139</v>
      </c>
      <c r="K30" s="67" t="s">
        <v>385</v>
      </c>
      <c r="L30" s="67" t="s">
        <v>71</v>
      </c>
      <c r="M30" s="67" t="s">
        <v>111</v>
      </c>
      <c r="N30" s="67" t="s">
        <v>141</v>
      </c>
      <c r="O30" s="67" t="s">
        <v>142</v>
      </c>
      <c r="P30" s="67" t="s">
        <v>386</v>
      </c>
      <c r="Q30" s="67" t="s">
        <v>379</v>
      </c>
      <c r="R30" s="67" t="s">
        <v>145</v>
      </c>
      <c r="S30" s="67" t="s">
        <v>145</v>
      </c>
      <c r="T30" s="67" t="s">
        <v>145</v>
      </c>
      <c r="U30" s="67"/>
      <c r="V30" s="67" t="s">
        <v>145</v>
      </c>
      <c r="W30" s="67" t="s">
        <v>145</v>
      </c>
      <c r="X30" s="67" t="s">
        <v>145</v>
      </c>
      <c r="Y30" s="67" t="s">
        <v>145</v>
      </c>
    </row>
    <row r="31" spans="1:29" ht="60" x14ac:dyDescent="0.25">
      <c r="A31" s="104">
        <v>3</v>
      </c>
      <c r="B31" s="67" t="s">
        <v>387</v>
      </c>
      <c r="C31" s="108">
        <v>42054</v>
      </c>
      <c r="D31" s="67" t="s">
        <v>388</v>
      </c>
      <c r="E31" s="67" t="s">
        <v>389</v>
      </c>
      <c r="F31" s="67" t="s">
        <v>390</v>
      </c>
      <c r="G31" s="67" t="s">
        <v>281</v>
      </c>
      <c r="H31" s="67" t="s">
        <v>12</v>
      </c>
      <c r="I31" s="67" t="s">
        <v>50</v>
      </c>
      <c r="J31" s="67" t="s">
        <v>139</v>
      </c>
      <c r="K31" s="67" t="s">
        <v>391</v>
      </c>
      <c r="L31" s="67" t="s">
        <v>71</v>
      </c>
      <c r="M31" s="67" t="s">
        <v>111</v>
      </c>
      <c r="N31" s="67" t="s">
        <v>141</v>
      </c>
      <c r="O31" s="67" t="s">
        <v>142</v>
      </c>
      <c r="P31" s="67" t="s">
        <v>392</v>
      </c>
      <c r="Q31" s="67" t="s">
        <v>393</v>
      </c>
      <c r="R31" s="67" t="s">
        <v>157</v>
      </c>
      <c r="S31" s="67" t="s">
        <v>145</v>
      </c>
      <c r="T31" s="67" t="s">
        <v>157</v>
      </c>
      <c r="U31" s="67"/>
      <c r="V31" s="67" t="s">
        <v>145</v>
      </c>
      <c r="W31" s="67" t="s">
        <v>145</v>
      </c>
      <c r="X31" s="67" t="s">
        <v>157</v>
      </c>
      <c r="Y31" s="67" t="s">
        <v>170</v>
      </c>
    </row>
    <row r="32" spans="1:29" ht="105" x14ac:dyDescent="0.25">
      <c r="A32" s="104">
        <v>4</v>
      </c>
      <c r="B32" s="67" t="s">
        <v>394</v>
      </c>
      <c r="C32" s="108">
        <v>42057</v>
      </c>
      <c r="D32" s="67" t="s">
        <v>395</v>
      </c>
      <c r="E32" s="67" t="s">
        <v>396</v>
      </c>
      <c r="F32" s="67" t="s">
        <v>397</v>
      </c>
      <c r="G32" s="67" t="s">
        <v>398</v>
      </c>
      <c r="H32" s="67" t="s">
        <v>5</v>
      </c>
      <c r="I32" s="67" t="s">
        <v>53</v>
      </c>
      <c r="J32" s="67" t="s">
        <v>139</v>
      </c>
      <c r="K32" s="67" t="s">
        <v>385</v>
      </c>
      <c r="L32" s="67" t="s">
        <v>71</v>
      </c>
      <c r="M32" s="67" t="s">
        <v>111</v>
      </c>
      <c r="N32" s="67" t="s">
        <v>141</v>
      </c>
      <c r="O32" s="67" t="s">
        <v>142</v>
      </c>
      <c r="P32" s="67" t="s">
        <v>399</v>
      </c>
      <c r="Q32" s="67" t="s">
        <v>400</v>
      </c>
      <c r="R32" s="67" t="s">
        <v>145</v>
      </c>
      <c r="S32" s="67" t="s">
        <v>157</v>
      </c>
      <c r="T32" s="67" t="s">
        <v>145</v>
      </c>
      <c r="U32" s="67"/>
      <c r="V32" s="67" t="s">
        <v>145</v>
      </c>
      <c r="W32" s="67" t="s">
        <v>145</v>
      </c>
      <c r="X32" s="67" t="s">
        <v>157</v>
      </c>
      <c r="Y32" s="67" t="s">
        <v>170</v>
      </c>
    </row>
    <row r="33" spans="1:28" ht="90" x14ac:dyDescent="0.25">
      <c r="A33" s="104">
        <v>5</v>
      </c>
      <c r="B33" s="67" t="s">
        <v>401</v>
      </c>
      <c r="C33" s="108">
        <v>42057</v>
      </c>
      <c r="D33" s="67" t="s">
        <v>402</v>
      </c>
      <c r="E33" s="67" t="s">
        <v>403</v>
      </c>
      <c r="F33" s="67" t="s">
        <v>404</v>
      </c>
      <c r="G33" s="67" t="s">
        <v>205</v>
      </c>
      <c r="H33" s="67" t="s">
        <v>7</v>
      </c>
      <c r="I33" s="67" t="s">
        <v>52</v>
      </c>
      <c r="J33" s="67" t="s">
        <v>139</v>
      </c>
      <c r="K33" s="67" t="s">
        <v>405</v>
      </c>
      <c r="L33" s="67" t="s">
        <v>71</v>
      </c>
      <c r="M33" s="67" t="s">
        <v>111</v>
      </c>
      <c r="N33" s="67" t="s">
        <v>141</v>
      </c>
      <c r="O33" s="67" t="s">
        <v>406</v>
      </c>
      <c r="P33" s="67" t="s">
        <v>407</v>
      </c>
      <c r="Q33" s="67" t="s">
        <v>408</v>
      </c>
      <c r="R33" s="67" t="s">
        <v>145</v>
      </c>
      <c r="S33" s="67" t="s">
        <v>157</v>
      </c>
      <c r="T33" s="67" t="s">
        <v>145</v>
      </c>
      <c r="U33" s="67" t="s">
        <v>157</v>
      </c>
      <c r="V33" s="67" t="s">
        <v>310</v>
      </c>
      <c r="W33" s="67" t="s">
        <v>409</v>
      </c>
      <c r="X33" s="67" t="s">
        <v>157</v>
      </c>
      <c r="Y33" s="67" t="s">
        <v>410</v>
      </c>
      <c r="Z33" t="s">
        <v>411</v>
      </c>
      <c r="AA33" s="67" t="s">
        <v>410</v>
      </c>
      <c r="AB33" t="s">
        <v>412</v>
      </c>
    </row>
    <row r="34" spans="1:28" ht="90" x14ac:dyDescent="0.25">
      <c r="A34" s="104">
        <v>6</v>
      </c>
      <c r="B34" s="67" t="s">
        <v>413</v>
      </c>
      <c r="C34" s="108">
        <v>42060</v>
      </c>
      <c r="D34" s="67" t="s">
        <v>414</v>
      </c>
      <c r="E34" s="67" t="s">
        <v>415</v>
      </c>
      <c r="F34" s="67" t="s">
        <v>416</v>
      </c>
      <c r="G34" s="67" t="s">
        <v>417</v>
      </c>
      <c r="H34" s="67" t="s">
        <v>17</v>
      </c>
      <c r="I34" s="67" t="s">
        <v>49</v>
      </c>
      <c r="J34" s="67" t="s">
        <v>139</v>
      </c>
      <c r="K34" s="67" t="s">
        <v>418</v>
      </c>
      <c r="L34" s="67" t="s">
        <v>71</v>
      </c>
      <c r="M34" s="67" t="s">
        <v>111</v>
      </c>
      <c r="N34" s="67" t="s">
        <v>141</v>
      </c>
      <c r="O34" s="67" t="s">
        <v>142</v>
      </c>
      <c r="P34" s="67" t="s">
        <v>419</v>
      </c>
      <c r="Q34" s="67" t="s">
        <v>420</v>
      </c>
      <c r="R34" s="67" t="s">
        <v>145</v>
      </c>
      <c r="S34" s="67" t="s">
        <v>157</v>
      </c>
      <c r="T34" s="67" t="s">
        <v>145</v>
      </c>
      <c r="U34" s="67" t="s">
        <v>157</v>
      </c>
      <c r="V34" s="67" t="s">
        <v>310</v>
      </c>
      <c r="W34" s="67" t="s">
        <v>421</v>
      </c>
      <c r="X34" s="67" t="s">
        <v>145</v>
      </c>
      <c r="Y34" s="67" t="s">
        <v>422</v>
      </c>
      <c r="Z34" s="111" t="s">
        <v>423</v>
      </c>
      <c r="AA34" s="67" t="s">
        <v>424</v>
      </c>
      <c r="AB34" t="s">
        <v>425</v>
      </c>
    </row>
    <row r="35" spans="1:28" ht="60" x14ac:dyDescent="0.25">
      <c r="A35">
        <v>7</v>
      </c>
      <c r="B35" s="118" t="s">
        <v>426</v>
      </c>
      <c r="C35" s="108">
        <v>42074</v>
      </c>
      <c r="D35" s="67" t="s">
        <v>192</v>
      </c>
      <c r="E35" s="67" t="s">
        <v>3</v>
      </c>
      <c r="F35" s="67" t="s">
        <v>3</v>
      </c>
      <c r="G35" s="67" t="s">
        <v>3</v>
      </c>
      <c r="H35" s="67" t="s">
        <v>3</v>
      </c>
      <c r="I35" s="67" t="s">
        <v>3</v>
      </c>
      <c r="J35" s="67" t="s">
        <v>3</v>
      </c>
      <c r="K35" s="67" t="s">
        <v>3</v>
      </c>
      <c r="L35" s="67" t="s">
        <v>71</v>
      </c>
      <c r="M35" s="67" t="s">
        <v>3</v>
      </c>
      <c r="N35" s="67" t="s">
        <v>141</v>
      </c>
      <c r="O35" s="67" t="s">
        <v>142</v>
      </c>
      <c r="P35" s="67" t="s">
        <v>427</v>
      </c>
      <c r="Q35" s="67" t="s">
        <v>379</v>
      </c>
      <c r="R35" s="67" t="s">
        <v>145</v>
      </c>
      <c r="S35" s="67" t="s">
        <v>145</v>
      </c>
      <c r="T35" s="67" t="s">
        <v>145</v>
      </c>
      <c r="U35" s="67"/>
      <c r="V35" s="67" t="s">
        <v>145</v>
      </c>
      <c r="W35" s="67" t="s">
        <v>145</v>
      </c>
      <c r="X35" s="67" t="s">
        <v>145</v>
      </c>
      <c r="Y35" s="67" t="s">
        <v>170</v>
      </c>
    </row>
    <row r="36" spans="1:28" ht="75" x14ac:dyDescent="0.25">
      <c r="A36" s="104">
        <v>8</v>
      </c>
      <c r="B36" s="67" t="s">
        <v>428</v>
      </c>
      <c r="C36" s="108">
        <v>42078</v>
      </c>
      <c r="D36" s="67" t="s">
        <v>381</v>
      </c>
      <c r="E36" s="67" t="s">
        <v>429</v>
      </c>
      <c r="F36" s="67" t="s">
        <v>430</v>
      </c>
      <c r="G36" s="67" t="s">
        <v>166</v>
      </c>
      <c r="H36" s="67" t="s">
        <v>5</v>
      </c>
      <c r="I36" s="67" t="s">
        <v>53</v>
      </c>
      <c r="J36" s="67" t="s">
        <v>139</v>
      </c>
      <c r="K36" s="67" t="s">
        <v>385</v>
      </c>
      <c r="L36" s="67" t="s">
        <v>71</v>
      </c>
      <c r="M36" s="67" t="s">
        <v>111</v>
      </c>
      <c r="N36" s="67" t="s">
        <v>141</v>
      </c>
      <c r="O36" s="67" t="s">
        <v>142</v>
      </c>
      <c r="P36" s="67" t="s">
        <v>431</v>
      </c>
      <c r="Q36" s="67" t="s">
        <v>379</v>
      </c>
      <c r="R36" s="67" t="s">
        <v>145</v>
      </c>
      <c r="S36" s="67" t="s">
        <v>145</v>
      </c>
      <c r="T36" s="67" t="s">
        <v>145</v>
      </c>
      <c r="U36" s="67"/>
      <c r="V36" s="67" t="s">
        <v>145</v>
      </c>
      <c r="W36" s="67" t="s">
        <v>145</v>
      </c>
      <c r="X36" s="67" t="s">
        <v>145</v>
      </c>
      <c r="Y36" s="67" t="s">
        <v>170</v>
      </c>
    </row>
    <row r="37" spans="1:28" ht="60" x14ac:dyDescent="0.25">
      <c r="A37" s="104">
        <v>9</v>
      </c>
      <c r="B37" s="67" t="s">
        <v>432</v>
      </c>
      <c r="C37" s="108">
        <v>42091</v>
      </c>
      <c r="D37" s="67" t="s">
        <v>433</v>
      </c>
      <c r="E37" s="67" t="s">
        <v>434</v>
      </c>
      <c r="F37" s="67" t="s">
        <v>435</v>
      </c>
      <c r="G37" s="67" t="s">
        <v>436</v>
      </c>
      <c r="H37" s="67" t="s">
        <v>28</v>
      </c>
      <c r="I37" s="67" t="s">
        <v>51</v>
      </c>
      <c r="J37" s="67" t="s">
        <v>139</v>
      </c>
      <c r="K37" s="67" t="s">
        <v>437</v>
      </c>
      <c r="L37" s="67" t="s">
        <v>71</v>
      </c>
      <c r="M37" s="67" t="s">
        <v>111</v>
      </c>
      <c r="N37" s="67" t="s">
        <v>141</v>
      </c>
      <c r="O37" s="67" t="s">
        <v>142</v>
      </c>
      <c r="P37" s="67" t="s">
        <v>438</v>
      </c>
      <c r="Q37" s="67" t="s">
        <v>439</v>
      </c>
      <c r="R37" s="67" t="s">
        <v>145</v>
      </c>
      <c r="S37" s="67" t="s">
        <v>157</v>
      </c>
      <c r="T37" s="67" t="s">
        <v>145</v>
      </c>
      <c r="U37" s="67" t="s">
        <v>157</v>
      </c>
      <c r="V37" s="67" t="s">
        <v>157</v>
      </c>
      <c r="W37" s="67" t="s">
        <v>440</v>
      </c>
      <c r="X37" s="67" t="s">
        <v>145</v>
      </c>
      <c r="Y37" s="67" t="s">
        <v>170</v>
      </c>
      <c r="Z37" t="s">
        <v>441</v>
      </c>
      <c r="AA37" s="67" t="s">
        <v>442</v>
      </c>
    </row>
    <row r="38" spans="1:28" ht="75" x14ac:dyDescent="0.25">
      <c r="A38" s="104">
        <v>10</v>
      </c>
      <c r="B38" s="67" t="s">
        <v>443</v>
      </c>
      <c r="C38" s="108">
        <v>42095</v>
      </c>
      <c r="D38" s="67" t="s">
        <v>444</v>
      </c>
      <c r="E38" s="67" t="s">
        <v>445</v>
      </c>
      <c r="F38" s="67" t="s">
        <v>446</v>
      </c>
      <c r="G38" s="67" t="s">
        <v>447</v>
      </c>
      <c r="H38" s="67" t="s">
        <v>6</v>
      </c>
      <c r="I38" s="67" t="s">
        <v>52</v>
      </c>
      <c r="J38" s="67" t="s">
        <v>139</v>
      </c>
      <c r="K38" s="67" t="s">
        <v>154</v>
      </c>
      <c r="L38" s="67" t="s">
        <v>71</v>
      </c>
      <c r="M38" s="67" t="s">
        <v>111</v>
      </c>
      <c r="N38" s="67" t="s">
        <v>141</v>
      </c>
      <c r="O38" s="67" t="s">
        <v>248</v>
      </c>
      <c r="P38" s="67" t="s">
        <v>448</v>
      </c>
      <c r="Q38" s="67" t="s">
        <v>379</v>
      </c>
      <c r="R38" s="67" t="s">
        <v>145</v>
      </c>
      <c r="S38" s="67" t="s">
        <v>145</v>
      </c>
      <c r="T38" s="67" t="s">
        <v>145</v>
      </c>
      <c r="U38" s="67"/>
      <c r="V38" s="67" t="s">
        <v>145</v>
      </c>
      <c r="W38" s="67" t="s">
        <v>145</v>
      </c>
      <c r="X38" s="67" t="s">
        <v>157</v>
      </c>
      <c r="Y38" s="67" t="s">
        <v>449</v>
      </c>
    </row>
    <row r="39" spans="1:28" ht="75" x14ac:dyDescent="0.25">
      <c r="A39" s="104">
        <v>11</v>
      </c>
      <c r="B39" s="67" t="s">
        <v>450</v>
      </c>
      <c r="C39" s="108">
        <v>42095</v>
      </c>
      <c r="D39" s="67" t="s">
        <v>451</v>
      </c>
      <c r="E39" s="67" t="s">
        <v>452</v>
      </c>
      <c r="F39" s="67" t="s">
        <v>356</v>
      </c>
      <c r="G39" s="67" t="s">
        <v>215</v>
      </c>
      <c r="H39" s="67" t="s">
        <v>5</v>
      </c>
      <c r="I39" s="67" t="s">
        <v>53</v>
      </c>
      <c r="J39" s="67" t="s">
        <v>139</v>
      </c>
      <c r="K39" s="67" t="s">
        <v>385</v>
      </c>
      <c r="L39" s="67" t="s">
        <v>71</v>
      </c>
      <c r="M39" s="67" t="s">
        <v>111</v>
      </c>
      <c r="N39" s="67" t="s">
        <v>141</v>
      </c>
      <c r="O39" s="67" t="s">
        <v>142</v>
      </c>
      <c r="P39" s="67" t="s">
        <v>453</v>
      </c>
      <c r="Q39" s="67" t="s">
        <v>454</v>
      </c>
      <c r="R39" s="67" t="s">
        <v>145</v>
      </c>
      <c r="S39" s="67" t="s">
        <v>145</v>
      </c>
      <c r="T39" s="67" t="s">
        <v>145</v>
      </c>
      <c r="U39" s="67" t="s">
        <v>157</v>
      </c>
      <c r="V39" s="67" t="s">
        <v>310</v>
      </c>
      <c r="W39" s="67" t="s">
        <v>84</v>
      </c>
      <c r="X39" s="67" t="s">
        <v>145</v>
      </c>
      <c r="Y39" s="67" t="s">
        <v>170</v>
      </c>
      <c r="Z39" t="s">
        <v>455</v>
      </c>
      <c r="AA39" s="67" t="s">
        <v>456</v>
      </c>
    </row>
    <row r="40" spans="1:28" ht="105" x14ac:dyDescent="0.25">
      <c r="A40" s="104">
        <v>12</v>
      </c>
      <c r="B40" s="67" t="s">
        <v>457</v>
      </c>
      <c r="C40" s="108">
        <v>42113</v>
      </c>
      <c r="D40" s="67" t="s">
        <v>458</v>
      </c>
      <c r="E40" s="67" t="s">
        <v>459</v>
      </c>
      <c r="F40" s="67" t="s">
        <v>460</v>
      </c>
      <c r="G40" s="67" t="s">
        <v>461</v>
      </c>
      <c r="H40" s="67" t="s">
        <v>9</v>
      </c>
      <c r="I40" s="67" t="s">
        <v>53</v>
      </c>
      <c r="J40" s="67" t="s">
        <v>139</v>
      </c>
      <c r="K40" s="67" t="s">
        <v>462</v>
      </c>
      <c r="L40" s="67" t="s">
        <v>71</v>
      </c>
      <c r="M40" s="67" t="s">
        <v>111</v>
      </c>
      <c r="N40" s="67" t="s">
        <v>141</v>
      </c>
      <c r="O40" s="67" t="s">
        <v>142</v>
      </c>
      <c r="P40" s="67" t="s">
        <v>463</v>
      </c>
      <c r="Q40" s="67" t="s">
        <v>464</v>
      </c>
      <c r="R40" s="67" t="s">
        <v>157</v>
      </c>
      <c r="S40" s="67" t="s">
        <v>145</v>
      </c>
      <c r="T40" s="67" t="s">
        <v>157</v>
      </c>
      <c r="U40" s="67"/>
      <c r="V40" s="67" t="s">
        <v>145</v>
      </c>
      <c r="W40" s="67" t="s">
        <v>145</v>
      </c>
      <c r="X40" s="67" t="s">
        <v>157</v>
      </c>
      <c r="Y40" s="67" t="s">
        <v>170</v>
      </c>
    </row>
    <row r="41" spans="1:28" ht="60" x14ac:dyDescent="0.25">
      <c r="A41" s="104">
        <v>13</v>
      </c>
      <c r="B41" s="67" t="s">
        <v>465</v>
      </c>
      <c r="C41" s="108">
        <v>42113</v>
      </c>
      <c r="D41" s="67" t="s">
        <v>466</v>
      </c>
      <c r="E41" s="67" t="s">
        <v>467</v>
      </c>
      <c r="F41" s="67" t="s">
        <v>468</v>
      </c>
      <c r="G41" s="67" t="s">
        <v>469</v>
      </c>
      <c r="H41" s="67" t="s">
        <v>6</v>
      </c>
      <c r="I41" s="67" t="s">
        <v>52</v>
      </c>
      <c r="J41" s="67" t="s">
        <v>139</v>
      </c>
      <c r="K41" s="67" t="s">
        <v>470</v>
      </c>
      <c r="L41" s="67" t="s">
        <v>71</v>
      </c>
      <c r="M41" s="67" t="s">
        <v>111</v>
      </c>
      <c r="N41" s="67" t="s">
        <v>141</v>
      </c>
      <c r="O41" s="67" t="s">
        <v>406</v>
      </c>
      <c r="P41" s="67" t="s">
        <v>471</v>
      </c>
      <c r="Q41" s="67" t="s">
        <v>472</v>
      </c>
      <c r="R41" s="67" t="s">
        <v>145</v>
      </c>
      <c r="S41" s="67" t="s">
        <v>157</v>
      </c>
      <c r="T41" s="67" t="s">
        <v>145</v>
      </c>
      <c r="U41" s="67"/>
      <c r="V41" s="67" t="s">
        <v>145</v>
      </c>
      <c r="W41" s="67" t="s">
        <v>145</v>
      </c>
      <c r="X41" s="67" t="s">
        <v>157</v>
      </c>
      <c r="Y41" s="67" t="s">
        <v>473</v>
      </c>
    </row>
    <row r="42" spans="1:28" ht="60" x14ac:dyDescent="0.25">
      <c r="A42">
        <v>14</v>
      </c>
      <c r="B42" s="67" t="s">
        <v>474</v>
      </c>
      <c r="C42" s="108">
        <v>42114</v>
      </c>
      <c r="D42" s="67" t="s">
        <v>475</v>
      </c>
      <c r="E42" s="67" t="s">
        <v>3</v>
      </c>
      <c r="F42" s="67" t="s">
        <v>3</v>
      </c>
      <c r="G42" s="67" t="s">
        <v>3</v>
      </c>
      <c r="H42" s="67" t="s">
        <v>3</v>
      </c>
      <c r="I42" s="67" t="s">
        <v>3</v>
      </c>
      <c r="J42" s="67" t="s">
        <v>3</v>
      </c>
      <c r="K42" s="67" t="s">
        <v>3</v>
      </c>
      <c r="L42" s="67" t="s">
        <v>71</v>
      </c>
      <c r="M42" s="67" t="s">
        <v>3</v>
      </c>
      <c r="N42" s="67" t="s">
        <v>141</v>
      </c>
      <c r="O42" s="67" t="s">
        <v>3</v>
      </c>
      <c r="P42" s="67" t="s">
        <v>476</v>
      </c>
      <c r="Q42" s="67" t="s">
        <v>379</v>
      </c>
      <c r="R42" s="67" t="s">
        <v>145</v>
      </c>
      <c r="S42" s="67" t="s">
        <v>145</v>
      </c>
      <c r="T42" s="67" t="s">
        <v>145</v>
      </c>
      <c r="U42" s="67"/>
      <c r="V42" s="67" t="s">
        <v>145</v>
      </c>
      <c r="W42" s="67" t="s">
        <v>145</v>
      </c>
      <c r="X42" s="67" t="s">
        <v>145</v>
      </c>
      <c r="Y42" s="67" t="s">
        <v>422</v>
      </c>
      <c r="Z42" s="67"/>
    </row>
    <row r="43" spans="1:28" ht="105" x14ac:dyDescent="0.25">
      <c r="A43" s="104">
        <v>15</v>
      </c>
      <c r="B43" s="67" t="s">
        <v>477</v>
      </c>
      <c r="C43" s="108">
        <v>42122</v>
      </c>
      <c r="D43" s="67" t="s">
        <v>478</v>
      </c>
      <c r="E43" s="67" t="s">
        <v>479</v>
      </c>
      <c r="F43" s="67" t="s">
        <v>480</v>
      </c>
      <c r="G43" s="67" t="s">
        <v>481</v>
      </c>
      <c r="H43" s="67" t="s">
        <v>5</v>
      </c>
      <c r="I43" s="67" t="s">
        <v>53</v>
      </c>
      <c r="J43" s="67" t="s">
        <v>139</v>
      </c>
      <c r="K43" s="67" t="s">
        <v>482</v>
      </c>
      <c r="L43" s="67" t="s">
        <v>71</v>
      </c>
      <c r="M43" s="67" t="s">
        <v>111</v>
      </c>
      <c r="N43" s="67" t="s">
        <v>141</v>
      </c>
      <c r="O43" s="67" t="s">
        <v>142</v>
      </c>
      <c r="P43" s="67" t="s">
        <v>483</v>
      </c>
      <c r="Q43" s="67" t="s">
        <v>484</v>
      </c>
      <c r="R43" s="67" t="s">
        <v>145</v>
      </c>
      <c r="S43" s="67" t="s">
        <v>145</v>
      </c>
      <c r="T43" s="67" t="s">
        <v>145</v>
      </c>
      <c r="U43" s="67"/>
      <c r="V43" s="67" t="s">
        <v>145</v>
      </c>
      <c r="W43" s="67" t="s">
        <v>145</v>
      </c>
      <c r="X43" s="67" t="s">
        <v>157</v>
      </c>
      <c r="Y43" s="67" t="s">
        <v>170</v>
      </c>
    </row>
    <row r="44" spans="1:28" ht="45" x14ac:dyDescent="0.25">
      <c r="A44" s="104">
        <v>16</v>
      </c>
      <c r="B44" s="67" t="s">
        <v>485</v>
      </c>
      <c r="C44" s="108">
        <v>42127</v>
      </c>
      <c r="D44" s="67" t="s">
        <v>486</v>
      </c>
      <c r="E44" s="67" t="s">
        <v>487</v>
      </c>
      <c r="F44" s="67" t="s">
        <v>356</v>
      </c>
      <c r="G44" s="67" t="s">
        <v>215</v>
      </c>
      <c r="H44" s="67" t="s">
        <v>5</v>
      </c>
      <c r="I44" s="67" t="s">
        <v>53</v>
      </c>
      <c r="J44" s="67" t="s">
        <v>139</v>
      </c>
      <c r="K44" s="67" t="s">
        <v>385</v>
      </c>
      <c r="L44" s="67" t="s">
        <v>71</v>
      </c>
      <c r="M44" s="67" t="s">
        <v>111</v>
      </c>
      <c r="N44" s="67" t="s">
        <v>141</v>
      </c>
      <c r="O44" s="67" t="s">
        <v>142</v>
      </c>
      <c r="P44" s="67" t="s">
        <v>488</v>
      </c>
      <c r="Q44" s="67" t="s">
        <v>489</v>
      </c>
      <c r="R44" s="67" t="s">
        <v>145</v>
      </c>
      <c r="S44" s="67" t="s">
        <v>145</v>
      </c>
      <c r="T44" s="67" t="s">
        <v>145</v>
      </c>
      <c r="U44" s="67"/>
      <c r="V44" s="67" t="s">
        <v>145</v>
      </c>
      <c r="W44" s="67" t="s">
        <v>490</v>
      </c>
      <c r="X44" s="67" t="s">
        <v>157</v>
      </c>
      <c r="Y44" s="67" t="s">
        <v>491</v>
      </c>
    </row>
    <row r="45" spans="1:28" ht="75" x14ac:dyDescent="0.25">
      <c r="A45" s="104">
        <v>17</v>
      </c>
      <c r="B45" s="67" t="s">
        <v>492</v>
      </c>
      <c r="C45" s="108">
        <v>42137</v>
      </c>
      <c r="D45" s="67" t="s">
        <v>493</v>
      </c>
      <c r="E45" s="67" t="s">
        <v>494</v>
      </c>
      <c r="F45" s="67" t="s">
        <v>495</v>
      </c>
      <c r="G45" s="67" t="s">
        <v>496</v>
      </c>
      <c r="H45" s="67" t="s">
        <v>11</v>
      </c>
      <c r="I45" s="67" t="s">
        <v>53</v>
      </c>
      <c r="J45" s="67" t="s">
        <v>139</v>
      </c>
      <c r="K45" s="67" t="s">
        <v>140</v>
      </c>
      <c r="L45" s="67" t="s">
        <v>71</v>
      </c>
      <c r="M45" s="67" t="s">
        <v>111</v>
      </c>
      <c r="N45" s="67" t="s">
        <v>141</v>
      </c>
      <c r="O45" s="67" t="s">
        <v>307</v>
      </c>
      <c r="P45" s="67" t="s">
        <v>497</v>
      </c>
      <c r="Q45" s="67" t="s">
        <v>498</v>
      </c>
      <c r="R45" s="67" t="s">
        <v>157</v>
      </c>
      <c r="S45" s="67" t="s">
        <v>157</v>
      </c>
      <c r="T45" s="67" t="s">
        <v>145</v>
      </c>
      <c r="U45" s="67"/>
      <c r="V45" s="67"/>
      <c r="W45" s="67"/>
      <c r="X45" s="67" t="s">
        <v>157</v>
      </c>
      <c r="Y45" s="67" t="s">
        <v>499</v>
      </c>
    </row>
    <row r="46" spans="1:28" ht="90" x14ac:dyDescent="0.25">
      <c r="A46" s="104">
        <v>18</v>
      </c>
      <c r="B46" s="67" t="s">
        <v>500</v>
      </c>
      <c r="C46" s="108">
        <v>42144</v>
      </c>
      <c r="D46" s="67" t="s">
        <v>501</v>
      </c>
      <c r="E46" s="67" t="s">
        <v>502</v>
      </c>
      <c r="F46" s="67" t="s">
        <v>503</v>
      </c>
      <c r="G46" s="67" t="s">
        <v>504</v>
      </c>
      <c r="H46" s="67" t="s">
        <v>12</v>
      </c>
      <c r="I46" s="67" t="s">
        <v>50</v>
      </c>
      <c r="J46" s="67" t="s">
        <v>139</v>
      </c>
      <c r="K46" s="67" t="s">
        <v>391</v>
      </c>
      <c r="L46" s="67" t="s">
        <v>71</v>
      </c>
      <c r="M46" s="67" t="s">
        <v>111</v>
      </c>
      <c r="N46" s="67" t="s">
        <v>141</v>
      </c>
      <c r="O46" s="67" t="s">
        <v>406</v>
      </c>
      <c r="P46" s="67" t="s">
        <v>505</v>
      </c>
      <c r="Q46" s="67" t="s">
        <v>506</v>
      </c>
      <c r="R46" s="67" t="s">
        <v>145</v>
      </c>
      <c r="S46" s="67" t="s">
        <v>145</v>
      </c>
      <c r="T46" s="67" t="s">
        <v>145</v>
      </c>
      <c r="U46" s="67"/>
      <c r="V46" s="67" t="s">
        <v>145</v>
      </c>
      <c r="W46" s="67" t="s">
        <v>145</v>
      </c>
      <c r="X46" s="67" t="s">
        <v>157</v>
      </c>
      <c r="Y46" s="67" t="s">
        <v>170</v>
      </c>
    </row>
    <row r="47" spans="1:28" ht="60" x14ac:dyDescent="0.25">
      <c r="A47" s="104">
        <v>19</v>
      </c>
      <c r="B47" s="67" t="s">
        <v>507</v>
      </c>
      <c r="C47" s="108">
        <v>42183</v>
      </c>
      <c r="D47" s="67" t="s">
        <v>508</v>
      </c>
      <c r="E47" s="67" t="s">
        <v>509</v>
      </c>
      <c r="F47" s="67" t="s">
        <v>430</v>
      </c>
      <c r="G47" s="67" t="s">
        <v>166</v>
      </c>
      <c r="H47" s="67" t="s">
        <v>510</v>
      </c>
      <c r="I47" s="67" t="s">
        <v>53</v>
      </c>
      <c r="J47" s="67" t="s">
        <v>139</v>
      </c>
      <c r="K47" s="67" t="s">
        <v>511</v>
      </c>
      <c r="L47" s="67" t="s">
        <v>71</v>
      </c>
      <c r="M47" s="67" t="s">
        <v>111</v>
      </c>
      <c r="N47" s="67" t="s">
        <v>141</v>
      </c>
      <c r="O47" s="67" t="s">
        <v>142</v>
      </c>
      <c r="P47" s="67" t="s">
        <v>512</v>
      </c>
      <c r="Q47" s="67" t="s">
        <v>513</v>
      </c>
      <c r="R47" s="67" t="s">
        <v>145</v>
      </c>
      <c r="S47" s="67" t="s">
        <v>157</v>
      </c>
      <c r="T47" s="67" t="s">
        <v>145</v>
      </c>
      <c r="U47" s="67" t="s">
        <v>157</v>
      </c>
      <c r="V47" s="67" t="s">
        <v>310</v>
      </c>
      <c r="W47" s="67" t="s">
        <v>63</v>
      </c>
      <c r="X47" s="67" t="s">
        <v>157</v>
      </c>
      <c r="Y47" s="67" t="s">
        <v>170</v>
      </c>
      <c r="Z47" t="s">
        <v>514</v>
      </c>
      <c r="AA47" s="67" t="s">
        <v>515</v>
      </c>
    </row>
    <row r="48" spans="1:28" ht="60" x14ac:dyDescent="0.25">
      <c r="A48" s="104">
        <v>20</v>
      </c>
      <c r="B48" s="67" t="s">
        <v>516</v>
      </c>
      <c r="C48" s="108">
        <v>42197</v>
      </c>
      <c r="D48" s="67" t="s">
        <v>517</v>
      </c>
      <c r="E48" s="67" t="s">
        <v>518</v>
      </c>
      <c r="F48" s="67" t="s">
        <v>519</v>
      </c>
      <c r="G48" s="67" t="s">
        <v>520</v>
      </c>
      <c r="H48" s="67" t="s">
        <v>521</v>
      </c>
      <c r="I48" s="67" t="s">
        <v>52</v>
      </c>
      <c r="J48" s="67" t="s">
        <v>139</v>
      </c>
      <c r="K48" s="67" t="s">
        <v>522</v>
      </c>
      <c r="L48" s="67" t="s">
        <v>71</v>
      </c>
      <c r="M48" s="67" t="s">
        <v>111</v>
      </c>
      <c r="N48" s="67" t="s">
        <v>523</v>
      </c>
      <c r="O48" s="67" t="s">
        <v>142</v>
      </c>
      <c r="P48" s="67" t="s">
        <v>524</v>
      </c>
      <c r="Q48" s="67" t="s">
        <v>525</v>
      </c>
      <c r="R48" s="67" t="s">
        <v>157</v>
      </c>
      <c r="S48" s="67" t="s">
        <v>145</v>
      </c>
      <c r="T48" s="67" t="s">
        <v>145</v>
      </c>
      <c r="U48" s="67"/>
      <c r="V48" s="67" t="s">
        <v>145</v>
      </c>
      <c r="W48" s="67" t="s">
        <v>145</v>
      </c>
      <c r="X48" s="67" t="s">
        <v>157</v>
      </c>
      <c r="Y48" s="67" t="s">
        <v>170</v>
      </c>
    </row>
    <row r="49" spans="1:25" ht="105" x14ac:dyDescent="0.25">
      <c r="A49" s="104">
        <v>21</v>
      </c>
      <c r="B49" s="67" t="s">
        <v>526</v>
      </c>
      <c r="C49" s="108">
        <v>42200</v>
      </c>
      <c r="D49" s="67" t="s">
        <v>527</v>
      </c>
      <c r="E49" s="67" t="s">
        <v>528</v>
      </c>
      <c r="F49" s="67" t="s">
        <v>356</v>
      </c>
      <c r="G49" s="67" t="s">
        <v>215</v>
      </c>
      <c r="H49" s="67" t="s">
        <v>5</v>
      </c>
      <c r="I49" s="67" t="s">
        <v>53</v>
      </c>
      <c r="J49" s="67" t="s">
        <v>139</v>
      </c>
      <c r="K49" s="67" t="s">
        <v>154</v>
      </c>
      <c r="L49" s="67" t="s">
        <v>71</v>
      </c>
      <c r="M49" s="67" t="s">
        <v>111</v>
      </c>
      <c r="N49" s="67" t="s">
        <v>141</v>
      </c>
      <c r="O49" s="67" t="s">
        <v>529</v>
      </c>
      <c r="P49" s="67" t="s">
        <v>530</v>
      </c>
      <c r="Q49" s="67" t="s">
        <v>531</v>
      </c>
      <c r="R49" s="67" t="s">
        <v>157</v>
      </c>
      <c r="S49" s="67" t="s">
        <v>145</v>
      </c>
      <c r="T49" s="67" t="s">
        <v>170</v>
      </c>
      <c r="U49" s="67"/>
      <c r="V49" s="67" t="s">
        <v>145</v>
      </c>
      <c r="W49" s="67" t="s">
        <v>145</v>
      </c>
      <c r="X49" s="67" t="s">
        <v>157</v>
      </c>
      <c r="Y49" s="67" t="s">
        <v>170</v>
      </c>
    </row>
    <row r="50" spans="1:25" ht="150" x14ac:dyDescent="0.25">
      <c r="A50">
        <v>22</v>
      </c>
      <c r="B50" s="67" t="s">
        <v>532</v>
      </c>
      <c r="C50" s="108">
        <v>42216</v>
      </c>
      <c r="D50" s="67" t="s">
        <v>248</v>
      </c>
      <c r="E50" s="67" t="s">
        <v>533</v>
      </c>
      <c r="F50" s="67" t="s">
        <v>534</v>
      </c>
      <c r="G50" s="67" t="s">
        <v>535</v>
      </c>
      <c r="H50" s="67" t="s">
        <v>11</v>
      </c>
      <c r="I50" s="67" t="s">
        <v>53</v>
      </c>
      <c r="J50" s="67" t="s">
        <v>139</v>
      </c>
      <c r="K50" s="67" t="s">
        <v>536</v>
      </c>
      <c r="L50" s="67" t="s">
        <v>71</v>
      </c>
      <c r="M50" s="67" t="s">
        <v>111</v>
      </c>
      <c r="N50" s="67" t="s">
        <v>306</v>
      </c>
      <c r="O50" s="67" t="s">
        <v>248</v>
      </c>
      <c r="P50" s="67" t="s">
        <v>537</v>
      </c>
      <c r="Q50" s="67" t="s">
        <v>538</v>
      </c>
      <c r="R50" s="67" t="s">
        <v>157</v>
      </c>
      <c r="S50" s="67" t="s">
        <v>145</v>
      </c>
      <c r="T50" s="67" t="s">
        <v>157</v>
      </c>
      <c r="U50" s="67"/>
      <c r="V50" s="67" t="s">
        <v>145</v>
      </c>
      <c r="W50" s="67" t="s">
        <v>145</v>
      </c>
      <c r="X50" s="67" t="s">
        <v>157</v>
      </c>
      <c r="Y50" s="67" t="s">
        <v>170</v>
      </c>
    </row>
    <row r="51" spans="1:25" ht="75" x14ac:dyDescent="0.25">
      <c r="A51" s="104">
        <v>23</v>
      </c>
      <c r="B51" s="67" t="s">
        <v>539</v>
      </c>
      <c r="C51" s="119">
        <v>42210</v>
      </c>
      <c r="D51" s="67" t="s">
        <v>540</v>
      </c>
      <c r="E51" s="67" t="s">
        <v>541</v>
      </c>
      <c r="F51" s="67" t="s">
        <v>542</v>
      </c>
      <c r="G51" s="67" t="s">
        <v>543</v>
      </c>
      <c r="H51" s="67" t="s">
        <v>16</v>
      </c>
      <c r="I51" s="67" t="s">
        <v>50</v>
      </c>
      <c r="J51" s="67" t="s">
        <v>139</v>
      </c>
      <c r="K51" s="67" t="s">
        <v>544</v>
      </c>
      <c r="L51" s="67" t="s">
        <v>71</v>
      </c>
      <c r="M51" s="67" t="s">
        <v>111</v>
      </c>
      <c r="N51" s="67" t="s">
        <v>141</v>
      </c>
      <c r="O51" s="67" t="s">
        <v>142</v>
      </c>
      <c r="P51" s="67" t="s">
        <v>545</v>
      </c>
      <c r="Q51" s="67" t="s">
        <v>546</v>
      </c>
      <c r="R51" s="67" t="s">
        <v>145</v>
      </c>
      <c r="S51" s="67" t="s">
        <v>145</v>
      </c>
      <c r="T51" s="67" t="s">
        <v>145</v>
      </c>
      <c r="U51" s="67"/>
      <c r="V51" s="67" t="s">
        <v>145</v>
      </c>
      <c r="W51" s="67" t="s">
        <v>145</v>
      </c>
      <c r="X51" s="67" t="s">
        <v>145</v>
      </c>
      <c r="Y51" s="67" t="s">
        <v>145</v>
      </c>
    </row>
    <row r="52" spans="1:25" ht="90" x14ac:dyDescent="0.25">
      <c r="A52" s="104">
        <v>24</v>
      </c>
      <c r="B52" s="67" t="s">
        <v>547</v>
      </c>
      <c r="C52" s="108">
        <v>42253</v>
      </c>
      <c r="D52" s="67" t="s">
        <v>548</v>
      </c>
      <c r="E52" s="67" t="s">
        <v>549</v>
      </c>
      <c r="F52" s="67" t="s">
        <v>225</v>
      </c>
      <c r="G52" s="67" t="s">
        <v>226</v>
      </c>
      <c r="H52" s="67" t="s">
        <v>9</v>
      </c>
      <c r="I52" s="67" t="s">
        <v>53</v>
      </c>
      <c r="J52" s="67" t="s">
        <v>139</v>
      </c>
      <c r="K52" s="67" t="s">
        <v>550</v>
      </c>
      <c r="L52" s="67" t="s">
        <v>71</v>
      </c>
      <c r="M52" s="67" t="s">
        <v>111</v>
      </c>
      <c r="N52" s="67" t="s">
        <v>141</v>
      </c>
      <c r="O52" s="67" t="s">
        <v>406</v>
      </c>
      <c r="P52" s="67" t="s">
        <v>551</v>
      </c>
      <c r="Q52" s="67" t="s">
        <v>552</v>
      </c>
      <c r="R52" s="67" t="s">
        <v>157</v>
      </c>
      <c r="S52" s="67" t="s">
        <v>157</v>
      </c>
      <c r="T52" s="67" t="s">
        <v>170</v>
      </c>
      <c r="U52" s="67"/>
      <c r="V52" s="67"/>
      <c r="W52" s="67"/>
      <c r="X52" s="67" t="s">
        <v>157</v>
      </c>
      <c r="Y52" s="67" t="s">
        <v>170</v>
      </c>
    </row>
    <row r="53" spans="1:25" ht="60" x14ac:dyDescent="0.25">
      <c r="A53">
        <v>25</v>
      </c>
      <c r="B53" s="67" t="s">
        <v>553</v>
      </c>
      <c r="C53" s="108">
        <v>42260</v>
      </c>
      <c r="D53" s="67" t="s">
        <v>554</v>
      </c>
      <c r="E53" s="67" t="s">
        <v>3</v>
      </c>
      <c r="F53" s="67" t="s">
        <v>3</v>
      </c>
      <c r="G53" s="67" t="s">
        <v>3</v>
      </c>
      <c r="H53" s="67" t="s">
        <v>3</v>
      </c>
      <c r="I53" s="67" t="s">
        <v>3</v>
      </c>
      <c r="J53" s="67" t="s">
        <v>3</v>
      </c>
      <c r="K53" s="67" t="s">
        <v>3</v>
      </c>
      <c r="L53" s="67" t="s">
        <v>71</v>
      </c>
      <c r="M53" s="67" t="s">
        <v>3</v>
      </c>
      <c r="N53" s="67" t="s">
        <v>141</v>
      </c>
      <c r="O53" s="67" t="s">
        <v>3</v>
      </c>
      <c r="P53" s="67" t="s">
        <v>555</v>
      </c>
      <c r="Q53" s="67" t="s">
        <v>556</v>
      </c>
      <c r="R53" s="67" t="s">
        <v>145</v>
      </c>
      <c r="S53" s="67" t="s">
        <v>145</v>
      </c>
      <c r="T53" s="67" t="s">
        <v>145</v>
      </c>
      <c r="U53" s="67"/>
      <c r="V53" s="67" t="s">
        <v>145</v>
      </c>
      <c r="W53" s="67" t="s">
        <v>145</v>
      </c>
      <c r="X53" s="67" t="s">
        <v>145</v>
      </c>
      <c r="Y53" s="67" t="s">
        <v>145</v>
      </c>
    </row>
    <row r="54" spans="1:25" ht="60" x14ac:dyDescent="0.25">
      <c r="A54" s="104">
        <v>26</v>
      </c>
      <c r="B54" s="67" t="s">
        <v>557</v>
      </c>
      <c r="C54" s="108">
        <v>42263</v>
      </c>
      <c r="D54" s="67" t="s">
        <v>558</v>
      </c>
      <c r="E54" s="67" t="s">
        <v>559</v>
      </c>
      <c r="F54" s="67" t="s">
        <v>560</v>
      </c>
      <c r="G54" s="67" t="s">
        <v>561</v>
      </c>
      <c r="H54" s="67" t="s">
        <v>6</v>
      </c>
      <c r="I54" s="67" t="s">
        <v>52</v>
      </c>
      <c r="J54" s="67" t="s">
        <v>139</v>
      </c>
      <c r="K54" s="67" t="s">
        <v>544</v>
      </c>
      <c r="L54" s="67" t="s">
        <v>71</v>
      </c>
      <c r="M54" s="67" t="s">
        <v>111</v>
      </c>
      <c r="N54" s="67" t="s">
        <v>141</v>
      </c>
      <c r="O54" s="67" t="s">
        <v>142</v>
      </c>
      <c r="P54" s="67" t="s">
        <v>562</v>
      </c>
      <c r="Q54" s="67" t="s">
        <v>563</v>
      </c>
      <c r="R54" s="67" t="s">
        <v>157</v>
      </c>
      <c r="S54" s="67" t="s">
        <v>157</v>
      </c>
      <c r="T54" s="67" t="s">
        <v>170</v>
      </c>
      <c r="U54" s="67"/>
      <c r="V54" s="67" t="s">
        <v>170</v>
      </c>
      <c r="W54" s="67" t="s">
        <v>170</v>
      </c>
      <c r="X54" s="67" t="s">
        <v>145</v>
      </c>
      <c r="Y54" s="67" t="s">
        <v>145</v>
      </c>
    </row>
    <row r="55" spans="1:25" ht="90" x14ac:dyDescent="0.25">
      <c r="A55" s="104">
        <v>27</v>
      </c>
      <c r="B55" s="67" t="s">
        <v>564</v>
      </c>
      <c r="C55" s="108">
        <v>42274</v>
      </c>
      <c r="D55" s="67" t="s">
        <v>565</v>
      </c>
      <c r="E55" s="67" t="s">
        <v>566</v>
      </c>
      <c r="F55" s="67" t="s">
        <v>567</v>
      </c>
      <c r="G55" s="67" t="s">
        <v>568</v>
      </c>
      <c r="H55" s="67" t="s">
        <v>5</v>
      </c>
      <c r="I55" s="67" t="s">
        <v>53</v>
      </c>
      <c r="J55" s="67" t="s">
        <v>139</v>
      </c>
      <c r="K55" s="67" t="s">
        <v>569</v>
      </c>
      <c r="L55" s="67" t="s">
        <v>71</v>
      </c>
      <c r="M55" s="67" t="s">
        <v>111</v>
      </c>
      <c r="N55" s="67" t="s">
        <v>141</v>
      </c>
      <c r="O55" s="67" t="s">
        <v>142</v>
      </c>
      <c r="P55" s="67" t="s">
        <v>570</v>
      </c>
      <c r="Q55" s="67" t="s">
        <v>571</v>
      </c>
      <c r="R55" s="67" t="s">
        <v>157</v>
      </c>
      <c r="S55" s="67" t="s">
        <v>157</v>
      </c>
      <c r="T55" s="67" t="s">
        <v>145</v>
      </c>
      <c r="U55" s="67"/>
      <c r="V55" s="67" t="s">
        <v>145</v>
      </c>
      <c r="W55" s="67" t="s">
        <v>145</v>
      </c>
      <c r="X55" s="67" t="s">
        <v>145</v>
      </c>
      <c r="Y55" s="67" t="s">
        <v>145</v>
      </c>
    </row>
    <row r="56" spans="1:25" ht="90" x14ac:dyDescent="0.25">
      <c r="A56" s="104">
        <v>28</v>
      </c>
      <c r="B56" s="67" t="s">
        <v>572</v>
      </c>
      <c r="C56" s="108">
        <v>42278</v>
      </c>
      <c r="D56" s="67" t="s">
        <v>573</v>
      </c>
      <c r="E56" s="67" t="s">
        <v>574</v>
      </c>
      <c r="F56" s="67" t="s">
        <v>491</v>
      </c>
      <c r="G56" s="67" t="s">
        <v>575</v>
      </c>
      <c r="H56" s="67" t="s">
        <v>11</v>
      </c>
      <c r="I56" s="67" t="s">
        <v>53</v>
      </c>
      <c r="J56" s="67" t="s">
        <v>139</v>
      </c>
      <c r="K56" s="67" t="s">
        <v>576</v>
      </c>
      <c r="L56" s="67" t="s">
        <v>71</v>
      </c>
      <c r="M56" s="67" t="s">
        <v>111</v>
      </c>
      <c r="N56" s="67" t="s">
        <v>306</v>
      </c>
      <c r="O56" s="67" t="s">
        <v>142</v>
      </c>
      <c r="P56" s="67" t="s">
        <v>577</v>
      </c>
      <c r="Q56" s="67" t="s">
        <v>578</v>
      </c>
      <c r="R56" s="67" t="s">
        <v>157</v>
      </c>
      <c r="S56" s="67" t="s">
        <v>145</v>
      </c>
      <c r="T56" s="67" t="s">
        <v>170</v>
      </c>
      <c r="U56" s="67"/>
      <c r="V56" s="67" t="s">
        <v>145</v>
      </c>
      <c r="W56" s="67" t="s">
        <v>145</v>
      </c>
      <c r="X56" s="67" t="s">
        <v>170</v>
      </c>
      <c r="Y56" s="67" t="s">
        <v>170</v>
      </c>
    </row>
    <row r="57" spans="1:25" ht="120" x14ac:dyDescent="0.25">
      <c r="A57">
        <v>29</v>
      </c>
      <c r="B57" s="67" t="s">
        <v>579</v>
      </c>
      <c r="C57" s="108">
        <v>42280</v>
      </c>
      <c r="D57" s="67" t="s">
        <v>580</v>
      </c>
      <c r="E57" s="67" t="s">
        <v>3</v>
      </c>
      <c r="F57" s="67" t="s">
        <v>3</v>
      </c>
      <c r="G57" s="67" t="s">
        <v>3</v>
      </c>
      <c r="H57" s="67" t="s">
        <v>3</v>
      </c>
      <c r="I57" s="67" t="s">
        <v>3</v>
      </c>
      <c r="J57" s="67" t="s">
        <v>3</v>
      </c>
      <c r="K57" s="67" t="s">
        <v>3</v>
      </c>
      <c r="L57" s="67" t="s">
        <v>71</v>
      </c>
      <c r="M57" s="67" t="s">
        <v>3</v>
      </c>
      <c r="N57" s="67" t="s">
        <v>141</v>
      </c>
      <c r="O57" s="67" t="s">
        <v>142</v>
      </c>
      <c r="P57" s="67" t="s">
        <v>581</v>
      </c>
      <c r="Q57" s="67" t="s">
        <v>582</v>
      </c>
      <c r="R57" s="67" t="s">
        <v>145</v>
      </c>
      <c r="S57" s="67" t="s">
        <v>145</v>
      </c>
      <c r="T57" s="67" t="s">
        <v>145</v>
      </c>
      <c r="U57" s="67"/>
      <c r="V57" s="67" t="s">
        <v>145</v>
      </c>
      <c r="W57" s="67" t="s">
        <v>145</v>
      </c>
      <c r="X57" s="67" t="s">
        <v>157</v>
      </c>
      <c r="Y57" s="67" t="s">
        <v>580</v>
      </c>
    </row>
    <row r="58" spans="1:25" ht="90" x14ac:dyDescent="0.25">
      <c r="A58">
        <v>30</v>
      </c>
      <c r="B58" s="67" t="s">
        <v>583</v>
      </c>
      <c r="C58" s="106">
        <v>42280</v>
      </c>
      <c r="D58" s="67" t="s">
        <v>584</v>
      </c>
      <c r="E58" s="67" t="s">
        <v>3</v>
      </c>
      <c r="F58" s="67" t="s">
        <v>3</v>
      </c>
      <c r="G58" s="67" t="s">
        <v>3</v>
      </c>
      <c r="H58" s="67" t="s">
        <v>3</v>
      </c>
      <c r="I58" s="67" t="s">
        <v>3</v>
      </c>
      <c r="J58" s="67" t="s">
        <v>3</v>
      </c>
      <c r="K58" s="67" t="s">
        <v>3</v>
      </c>
      <c r="L58" s="67" t="s">
        <v>71</v>
      </c>
      <c r="M58" s="67" t="s">
        <v>3</v>
      </c>
      <c r="N58" s="67" t="s">
        <v>141</v>
      </c>
      <c r="O58" s="67" t="s">
        <v>142</v>
      </c>
      <c r="P58" s="67" t="s">
        <v>585</v>
      </c>
      <c r="Q58" s="67" t="s">
        <v>586</v>
      </c>
      <c r="R58" s="67" t="s">
        <v>145</v>
      </c>
      <c r="S58" s="105" t="s">
        <v>145</v>
      </c>
      <c r="T58" s="105" t="s">
        <v>145</v>
      </c>
      <c r="U58" s="105"/>
      <c r="V58" s="105" t="s">
        <v>145</v>
      </c>
      <c r="W58" s="105" t="s">
        <v>145</v>
      </c>
      <c r="X58" s="105" t="s">
        <v>145</v>
      </c>
      <c r="Y58" s="105" t="s">
        <v>145</v>
      </c>
    </row>
    <row r="59" spans="1:25" ht="90" x14ac:dyDescent="0.25">
      <c r="A59">
        <v>31</v>
      </c>
      <c r="B59" s="67" t="s">
        <v>587</v>
      </c>
      <c r="C59" s="108">
        <v>42291</v>
      </c>
      <c r="D59" s="67" t="s">
        <v>588</v>
      </c>
      <c r="E59" s="67" t="s">
        <v>3</v>
      </c>
      <c r="F59" s="67" t="s">
        <v>3</v>
      </c>
      <c r="G59" s="67" t="s">
        <v>3</v>
      </c>
      <c r="H59" s="67" t="s">
        <v>3</v>
      </c>
      <c r="I59" s="67" t="s">
        <v>3</v>
      </c>
      <c r="J59" s="67" t="s">
        <v>3</v>
      </c>
      <c r="K59" s="67" t="s">
        <v>3</v>
      </c>
      <c r="L59" s="67" t="s">
        <v>71</v>
      </c>
      <c r="M59" s="67" t="s">
        <v>3</v>
      </c>
      <c r="N59" s="67" t="s">
        <v>141</v>
      </c>
      <c r="O59" s="67" t="s">
        <v>142</v>
      </c>
      <c r="P59" s="67" t="s">
        <v>589</v>
      </c>
      <c r="Q59" s="67" t="s">
        <v>590</v>
      </c>
      <c r="R59" s="67" t="s">
        <v>145</v>
      </c>
      <c r="S59" s="67" t="s">
        <v>145</v>
      </c>
      <c r="T59" s="67" t="s">
        <v>145</v>
      </c>
      <c r="U59" s="67"/>
      <c r="V59" s="67" t="s">
        <v>145</v>
      </c>
      <c r="W59" s="67" t="s">
        <v>158</v>
      </c>
      <c r="X59" s="67" t="s">
        <v>145</v>
      </c>
      <c r="Y59" s="67" t="s">
        <v>145</v>
      </c>
    </row>
    <row r="60" spans="1:25" ht="165" x14ac:dyDescent="0.25">
      <c r="A60" s="104">
        <v>32</v>
      </c>
      <c r="B60" s="67" t="s">
        <v>591</v>
      </c>
      <c r="C60" s="108">
        <v>42295</v>
      </c>
      <c r="D60" s="67" t="s">
        <v>592</v>
      </c>
      <c r="E60" s="67" t="s">
        <v>593</v>
      </c>
      <c r="F60" s="67" t="s">
        <v>594</v>
      </c>
      <c r="G60" s="67" t="s">
        <v>595</v>
      </c>
      <c r="H60" s="67" t="s">
        <v>7</v>
      </c>
      <c r="I60" s="67" t="s">
        <v>52</v>
      </c>
      <c r="J60" s="67" t="s">
        <v>139</v>
      </c>
      <c r="K60" s="67" t="s">
        <v>405</v>
      </c>
      <c r="L60" s="67" t="s">
        <v>71</v>
      </c>
      <c r="M60" s="67" t="s">
        <v>111</v>
      </c>
      <c r="N60" s="67" t="s">
        <v>141</v>
      </c>
      <c r="O60" s="67" t="s">
        <v>142</v>
      </c>
      <c r="P60" s="67" t="s">
        <v>596</v>
      </c>
      <c r="Q60" s="67" t="s">
        <v>597</v>
      </c>
      <c r="R60" s="67" t="s">
        <v>157</v>
      </c>
      <c r="S60" s="67" t="s">
        <v>157</v>
      </c>
      <c r="T60" s="67" t="s">
        <v>145</v>
      </c>
      <c r="U60" s="67"/>
      <c r="V60" s="67" t="s">
        <v>145</v>
      </c>
      <c r="W60" s="67" t="s">
        <v>145</v>
      </c>
      <c r="X60" s="67" t="s">
        <v>422</v>
      </c>
      <c r="Y60" s="67" t="s">
        <v>170</v>
      </c>
    </row>
    <row r="61" spans="1:25" ht="240" x14ac:dyDescent="0.25">
      <c r="A61">
        <v>33</v>
      </c>
      <c r="B61" s="67" t="s">
        <v>598</v>
      </c>
      <c r="C61" s="108">
        <v>42309</v>
      </c>
      <c r="D61" s="67" t="s">
        <v>599</v>
      </c>
      <c r="E61" s="67" t="s">
        <v>3</v>
      </c>
      <c r="F61" s="67" t="s">
        <v>3</v>
      </c>
      <c r="G61" s="67" t="s">
        <v>3</v>
      </c>
      <c r="H61" s="67" t="s">
        <v>3</v>
      </c>
      <c r="I61" s="67" t="s">
        <v>3</v>
      </c>
      <c r="J61" s="67" t="s">
        <v>3</v>
      </c>
      <c r="K61" s="67" t="s">
        <v>3</v>
      </c>
      <c r="L61" s="67" t="s">
        <v>71</v>
      </c>
      <c r="M61" s="67" t="s">
        <v>3</v>
      </c>
      <c r="N61" s="67" t="s">
        <v>141</v>
      </c>
      <c r="O61" s="67" t="s">
        <v>142</v>
      </c>
      <c r="P61" s="67" t="s">
        <v>600</v>
      </c>
      <c r="Q61" s="67" t="s">
        <v>601</v>
      </c>
      <c r="R61" s="67" t="s">
        <v>157</v>
      </c>
      <c r="S61" s="67" t="s">
        <v>145</v>
      </c>
      <c r="T61" s="67" t="s">
        <v>602</v>
      </c>
      <c r="U61" s="67"/>
      <c r="V61" s="67" t="s">
        <v>145</v>
      </c>
      <c r="W61" s="67" t="s">
        <v>145</v>
      </c>
      <c r="X61" s="67" t="s">
        <v>157</v>
      </c>
      <c r="Y61" s="67" t="s">
        <v>170</v>
      </c>
    </row>
    <row r="62" spans="1:25" ht="180" x14ac:dyDescent="0.25">
      <c r="A62">
        <v>1</v>
      </c>
      <c r="B62" s="67" t="s">
        <v>603</v>
      </c>
      <c r="C62" s="108">
        <v>42403</v>
      </c>
      <c r="D62" s="67" t="s">
        <v>604</v>
      </c>
      <c r="E62" s="67" t="s">
        <v>605</v>
      </c>
      <c r="F62" s="67" t="s">
        <v>606</v>
      </c>
      <c r="G62" s="67" t="s">
        <v>607</v>
      </c>
      <c r="H62" s="67" t="s">
        <v>9</v>
      </c>
      <c r="I62" s="67" t="s">
        <v>53</v>
      </c>
      <c r="J62" s="67" t="s">
        <v>139</v>
      </c>
      <c r="K62" s="67" t="s">
        <v>608</v>
      </c>
      <c r="L62" s="67" t="s">
        <v>72</v>
      </c>
      <c r="M62" s="67" t="s">
        <v>111</v>
      </c>
      <c r="N62" s="67" t="s">
        <v>141</v>
      </c>
      <c r="O62" s="67" t="s">
        <v>248</v>
      </c>
      <c r="P62" s="67" t="s">
        <v>609</v>
      </c>
      <c r="Q62" s="67" t="s">
        <v>610</v>
      </c>
      <c r="R62" s="67" t="s">
        <v>491</v>
      </c>
      <c r="S62" s="67" t="s">
        <v>170</v>
      </c>
      <c r="T62" s="67" t="s">
        <v>491</v>
      </c>
      <c r="U62" s="67"/>
      <c r="V62" s="67" t="s">
        <v>491</v>
      </c>
      <c r="W62" s="67" t="s">
        <v>491</v>
      </c>
      <c r="X62" s="67" t="s">
        <v>157</v>
      </c>
      <c r="Y62" s="67" t="s">
        <v>170</v>
      </c>
    </row>
    <row r="63" spans="1:25" ht="180" x14ac:dyDescent="0.25">
      <c r="A63">
        <v>2</v>
      </c>
      <c r="B63" s="67" t="s">
        <v>611</v>
      </c>
      <c r="C63" s="108">
        <v>42417</v>
      </c>
      <c r="D63" s="67" t="s">
        <v>612</v>
      </c>
      <c r="E63" s="67" t="s">
        <v>613</v>
      </c>
      <c r="F63" s="67" t="s">
        <v>614</v>
      </c>
      <c r="G63" s="67" t="s">
        <v>615</v>
      </c>
      <c r="H63" s="67" t="s">
        <v>6</v>
      </c>
      <c r="I63" s="67" t="s">
        <v>52</v>
      </c>
      <c r="J63" s="67" t="s">
        <v>139</v>
      </c>
      <c r="K63" s="67" t="s">
        <v>616</v>
      </c>
      <c r="L63" s="67" t="s">
        <v>71</v>
      </c>
      <c r="M63" s="67" t="s">
        <v>111</v>
      </c>
      <c r="N63" s="67" t="s">
        <v>141</v>
      </c>
      <c r="O63" s="67" t="s">
        <v>142</v>
      </c>
      <c r="P63" s="67" t="s">
        <v>617</v>
      </c>
      <c r="Q63" s="67" t="s">
        <v>618</v>
      </c>
      <c r="R63" s="67" t="s">
        <v>157</v>
      </c>
      <c r="S63" s="67" t="s">
        <v>157</v>
      </c>
      <c r="T63" s="67" t="s">
        <v>619</v>
      </c>
      <c r="U63" s="67"/>
      <c r="V63" s="67" t="s">
        <v>158</v>
      </c>
      <c r="W63" s="67" t="s">
        <v>158</v>
      </c>
      <c r="X63" s="67" t="s">
        <v>157</v>
      </c>
      <c r="Y63" s="67" t="s">
        <v>170</v>
      </c>
    </row>
    <row r="64" spans="1:25" ht="120" x14ac:dyDescent="0.25">
      <c r="A64">
        <v>3</v>
      </c>
      <c r="B64" s="67" t="s">
        <v>620</v>
      </c>
      <c r="C64" s="108">
        <v>42428</v>
      </c>
      <c r="D64" s="67" t="s">
        <v>621</v>
      </c>
      <c r="E64" s="67" t="s">
        <v>622</v>
      </c>
      <c r="F64" s="67" t="s">
        <v>623</v>
      </c>
      <c r="G64" s="67" t="s">
        <v>543</v>
      </c>
      <c r="H64" s="67" t="s">
        <v>16</v>
      </c>
      <c r="I64" s="67" t="s">
        <v>50</v>
      </c>
      <c r="J64" s="67" t="s">
        <v>139</v>
      </c>
      <c r="K64" s="67" t="s">
        <v>624</v>
      </c>
      <c r="L64" s="67" t="s">
        <v>71</v>
      </c>
      <c r="M64" s="67" t="s">
        <v>111</v>
      </c>
      <c r="N64" s="67" t="s">
        <v>141</v>
      </c>
      <c r="O64" s="67" t="s">
        <v>142</v>
      </c>
      <c r="P64" s="67" t="s">
        <v>625</v>
      </c>
      <c r="Q64" s="67" t="s">
        <v>626</v>
      </c>
      <c r="R64" s="67" t="s">
        <v>157</v>
      </c>
      <c r="S64" s="67" t="s">
        <v>170</v>
      </c>
      <c r="T64" s="67" t="s">
        <v>491</v>
      </c>
      <c r="U64" s="67"/>
      <c r="V64" s="67" t="s">
        <v>491</v>
      </c>
      <c r="W64" s="67" t="s">
        <v>491</v>
      </c>
      <c r="X64" s="67" t="s">
        <v>157</v>
      </c>
      <c r="Y64" s="67" t="s">
        <v>170</v>
      </c>
    </row>
    <row r="65" spans="1:28" ht="120" x14ac:dyDescent="0.25">
      <c r="A65">
        <v>4</v>
      </c>
      <c r="B65" s="67" t="s">
        <v>627</v>
      </c>
      <c r="C65" s="108">
        <v>42445</v>
      </c>
      <c r="D65" s="67" t="s">
        <v>628</v>
      </c>
      <c r="E65" s="67" t="s">
        <v>629</v>
      </c>
      <c r="F65" s="67" t="s">
        <v>630</v>
      </c>
      <c r="G65" s="67" t="s">
        <v>447</v>
      </c>
      <c r="H65" s="67" t="s">
        <v>6</v>
      </c>
      <c r="I65" s="67" t="s">
        <v>52</v>
      </c>
      <c r="J65" s="67" t="s">
        <v>139</v>
      </c>
      <c r="K65" s="67" t="s">
        <v>154</v>
      </c>
      <c r="L65" s="67" t="s">
        <v>71</v>
      </c>
      <c r="M65" s="67" t="s">
        <v>111</v>
      </c>
      <c r="N65" s="67" t="s">
        <v>141</v>
      </c>
      <c r="O65" s="67" t="s">
        <v>142</v>
      </c>
      <c r="P65" s="67" t="s">
        <v>631</v>
      </c>
      <c r="Q65" s="67" t="s">
        <v>632</v>
      </c>
      <c r="R65" s="67" t="s">
        <v>158</v>
      </c>
      <c r="S65" s="67" t="s">
        <v>145</v>
      </c>
      <c r="T65" s="67" t="s">
        <v>145</v>
      </c>
      <c r="U65" s="67"/>
      <c r="V65" s="67" t="s">
        <v>145</v>
      </c>
      <c r="W65" s="67" t="s">
        <v>145</v>
      </c>
      <c r="X65" s="67" t="s">
        <v>157</v>
      </c>
      <c r="Y65" s="67" t="s">
        <v>170</v>
      </c>
    </row>
    <row r="66" spans="1:28" ht="135" x14ac:dyDescent="0.25">
      <c r="A66">
        <v>5</v>
      </c>
      <c r="B66" s="67" t="s">
        <v>633</v>
      </c>
      <c r="C66" s="108">
        <v>42445</v>
      </c>
      <c r="D66" s="67" t="s">
        <v>634</v>
      </c>
      <c r="E66" s="67" t="s">
        <v>3</v>
      </c>
      <c r="F66" s="67" t="s">
        <v>3</v>
      </c>
      <c r="G66" s="67" t="s">
        <v>3</v>
      </c>
      <c r="H66" s="67" t="s">
        <v>3</v>
      </c>
      <c r="I66" s="67" t="s">
        <v>3</v>
      </c>
      <c r="J66" s="67" t="s">
        <v>3</v>
      </c>
      <c r="K66" s="67" t="s">
        <v>3</v>
      </c>
      <c r="L66" s="67" t="s">
        <v>71</v>
      </c>
      <c r="M66" s="67" t="s">
        <v>3</v>
      </c>
      <c r="N66" s="67" t="s">
        <v>141</v>
      </c>
      <c r="O66" s="67" t="s">
        <v>3</v>
      </c>
      <c r="P66" s="67" t="s">
        <v>635</v>
      </c>
      <c r="Q66" s="67" t="s">
        <v>636</v>
      </c>
      <c r="R66" s="67" t="s">
        <v>157</v>
      </c>
      <c r="S66" s="67" t="s">
        <v>145</v>
      </c>
      <c r="T66" s="67" t="s">
        <v>145</v>
      </c>
      <c r="U66" s="67"/>
      <c r="V66" s="67" t="s">
        <v>145</v>
      </c>
      <c r="W66" s="67" t="s">
        <v>145</v>
      </c>
      <c r="X66" s="67" t="s">
        <v>157</v>
      </c>
      <c r="Y66" s="67" t="s">
        <v>637</v>
      </c>
    </row>
    <row r="67" spans="1:28" ht="150" x14ac:dyDescent="0.25">
      <c r="A67">
        <v>6</v>
      </c>
      <c r="B67" s="67" t="s">
        <v>638</v>
      </c>
      <c r="C67" s="108">
        <v>42446</v>
      </c>
      <c r="D67" s="67" t="s">
        <v>639</v>
      </c>
      <c r="E67" s="67" t="s">
        <v>640</v>
      </c>
      <c r="F67" s="67" t="s">
        <v>641</v>
      </c>
      <c r="G67" s="67" t="s">
        <v>642</v>
      </c>
      <c r="H67" s="67" t="s">
        <v>54</v>
      </c>
      <c r="I67" s="67" t="s">
        <v>54</v>
      </c>
      <c r="J67" s="67" t="s">
        <v>643</v>
      </c>
      <c r="K67" s="67" t="s">
        <v>154</v>
      </c>
      <c r="L67" s="67" t="s">
        <v>71</v>
      </c>
      <c r="M67" s="67" t="s">
        <v>111</v>
      </c>
      <c r="N67" s="67" t="s">
        <v>141</v>
      </c>
      <c r="O67" s="67" t="s">
        <v>142</v>
      </c>
      <c r="P67" s="67" t="s">
        <v>644</v>
      </c>
      <c r="Q67" s="67" t="s">
        <v>645</v>
      </c>
      <c r="R67" s="67" t="s">
        <v>145</v>
      </c>
      <c r="S67" s="67" t="s">
        <v>157</v>
      </c>
      <c r="T67" s="67" t="s">
        <v>145</v>
      </c>
      <c r="U67" s="67" t="s">
        <v>157</v>
      </c>
      <c r="V67" s="67" t="s">
        <v>157</v>
      </c>
      <c r="W67" s="67" t="s">
        <v>57</v>
      </c>
      <c r="X67" s="67" t="s">
        <v>157</v>
      </c>
      <c r="Y67" s="67" t="s">
        <v>170</v>
      </c>
      <c r="Z67" s="110" t="s">
        <v>646</v>
      </c>
      <c r="AA67" t="s">
        <v>647</v>
      </c>
      <c r="AB67" s="67" t="s">
        <v>93</v>
      </c>
    </row>
    <row r="68" spans="1:28" ht="180" x14ac:dyDescent="0.25">
      <c r="A68">
        <v>7</v>
      </c>
      <c r="B68" s="67" t="s">
        <v>648</v>
      </c>
      <c r="C68" s="108">
        <v>42456</v>
      </c>
      <c r="D68" s="67" t="s">
        <v>649</v>
      </c>
      <c r="E68" s="67" t="s">
        <v>650</v>
      </c>
      <c r="F68" s="67" t="s">
        <v>3</v>
      </c>
      <c r="G68" s="67" t="s">
        <v>3</v>
      </c>
      <c r="H68" s="67" t="s">
        <v>3</v>
      </c>
      <c r="I68" s="67" t="s">
        <v>3</v>
      </c>
      <c r="J68" s="67" t="s">
        <v>3</v>
      </c>
      <c r="K68" s="67" t="s">
        <v>3</v>
      </c>
      <c r="L68" s="67" t="s">
        <v>71</v>
      </c>
      <c r="M68" s="67" t="s">
        <v>3</v>
      </c>
      <c r="N68" s="67" t="s">
        <v>141</v>
      </c>
      <c r="O68" s="67" t="s">
        <v>3</v>
      </c>
      <c r="P68" s="67" t="s">
        <v>651</v>
      </c>
      <c r="Q68" s="67" t="s">
        <v>652</v>
      </c>
      <c r="R68" s="67" t="s">
        <v>145</v>
      </c>
      <c r="S68" s="67" t="s">
        <v>145</v>
      </c>
      <c r="T68" s="67" t="s">
        <v>158</v>
      </c>
      <c r="U68" s="67"/>
      <c r="V68" s="67" t="s">
        <v>145</v>
      </c>
      <c r="W68" s="67" t="s">
        <v>145</v>
      </c>
      <c r="X68" s="67" t="s">
        <v>157</v>
      </c>
      <c r="Y68" s="67" t="s">
        <v>653</v>
      </c>
    </row>
    <row r="69" spans="1:28" ht="60" x14ac:dyDescent="0.25">
      <c r="A69">
        <v>8</v>
      </c>
      <c r="B69" s="67" t="s">
        <v>654</v>
      </c>
      <c r="C69" s="108">
        <v>42473</v>
      </c>
      <c r="D69" s="67" t="s">
        <v>599</v>
      </c>
      <c r="E69" s="67" t="s">
        <v>655</v>
      </c>
      <c r="F69" s="67" t="s">
        <v>656</v>
      </c>
      <c r="G69" s="67" t="s">
        <v>447</v>
      </c>
      <c r="H69" s="67" t="s">
        <v>6</v>
      </c>
      <c r="I69" s="67" t="s">
        <v>52</v>
      </c>
      <c r="J69" s="67" t="s">
        <v>139</v>
      </c>
      <c r="K69" s="67" t="s">
        <v>154</v>
      </c>
      <c r="L69" s="67" t="s">
        <v>71</v>
      </c>
      <c r="M69" s="67" t="s">
        <v>111</v>
      </c>
      <c r="N69" s="67" t="s">
        <v>141</v>
      </c>
      <c r="O69" s="67" t="s">
        <v>248</v>
      </c>
      <c r="P69" s="67" t="s">
        <v>657</v>
      </c>
      <c r="Q69" s="67" t="s">
        <v>658</v>
      </c>
      <c r="R69" s="67" t="s">
        <v>145</v>
      </c>
      <c r="S69" s="67" t="s">
        <v>145</v>
      </c>
      <c r="T69" s="67" t="s">
        <v>158</v>
      </c>
      <c r="U69" s="67"/>
      <c r="V69" s="67" t="s">
        <v>145</v>
      </c>
      <c r="W69" s="67" t="s">
        <v>145</v>
      </c>
      <c r="X69" s="67" t="s">
        <v>157</v>
      </c>
      <c r="Y69" s="67" t="s">
        <v>659</v>
      </c>
    </row>
    <row r="70" spans="1:28" ht="240" x14ac:dyDescent="0.25">
      <c r="A70">
        <v>9</v>
      </c>
      <c r="B70" s="67" t="s">
        <v>660</v>
      </c>
      <c r="C70" s="108">
        <v>42477</v>
      </c>
      <c r="D70" s="67" t="s">
        <v>661</v>
      </c>
      <c r="E70" s="67" t="s">
        <v>662</v>
      </c>
      <c r="F70" s="67" t="s">
        <v>663</v>
      </c>
      <c r="G70" s="67" t="s">
        <v>664</v>
      </c>
      <c r="H70" s="67" t="s">
        <v>11</v>
      </c>
      <c r="I70" s="67" t="s">
        <v>53</v>
      </c>
      <c r="J70" s="67" t="s">
        <v>139</v>
      </c>
      <c r="K70" s="67" t="s">
        <v>665</v>
      </c>
      <c r="L70" s="67" t="s">
        <v>71</v>
      </c>
      <c r="M70" s="67" t="s">
        <v>111</v>
      </c>
      <c r="N70" s="67" t="s">
        <v>141</v>
      </c>
      <c r="O70" s="67" t="s">
        <v>142</v>
      </c>
      <c r="P70" s="67" t="s">
        <v>666</v>
      </c>
      <c r="Q70" s="67" t="s">
        <v>667</v>
      </c>
      <c r="R70" s="67" t="s">
        <v>145</v>
      </c>
      <c r="S70" s="67" t="s">
        <v>157</v>
      </c>
      <c r="T70" s="67" t="s">
        <v>145</v>
      </c>
      <c r="U70" s="67" t="s">
        <v>157</v>
      </c>
      <c r="V70" s="67" t="s">
        <v>310</v>
      </c>
      <c r="W70" s="67" t="s">
        <v>668</v>
      </c>
      <c r="X70" s="67" t="s">
        <v>170</v>
      </c>
      <c r="Y70" s="67" t="s">
        <v>170</v>
      </c>
      <c r="Z70" s="67" t="s">
        <v>667</v>
      </c>
      <c r="AA70" s="67" t="s">
        <v>669</v>
      </c>
    </row>
    <row r="71" spans="1:28" ht="210" x14ac:dyDescent="0.25">
      <c r="A71">
        <v>10</v>
      </c>
      <c r="B71" s="67" t="s">
        <v>670</v>
      </c>
      <c r="C71" s="108">
        <v>42494</v>
      </c>
      <c r="D71" s="67" t="s">
        <v>671</v>
      </c>
      <c r="E71" s="67" t="s">
        <v>672</v>
      </c>
      <c r="F71" s="67" t="s">
        <v>673</v>
      </c>
      <c r="G71" s="67" t="s">
        <v>674</v>
      </c>
      <c r="H71" s="67" t="s">
        <v>7</v>
      </c>
      <c r="I71" s="67" t="s">
        <v>52</v>
      </c>
      <c r="J71" s="67" t="s">
        <v>139</v>
      </c>
      <c r="K71" s="67" t="s">
        <v>154</v>
      </c>
      <c r="L71" s="67" t="s">
        <v>71</v>
      </c>
      <c r="M71" s="67" t="s">
        <v>111</v>
      </c>
      <c r="N71" s="67" t="s">
        <v>141</v>
      </c>
      <c r="O71" s="67" t="s">
        <v>675</v>
      </c>
      <c r="P71" s="67" t="s">
        <v>676</v>
      </c>
      <c r="Q71" s="67" t="s">
        <v>677</v>
      </c>
      <c r="R71" s="67" t="s">
        <v>145</v>
      </c>
      <c r="S71" s="67" t="s">
        <v>145</v>
      </c>
      <c r="T71" s="67" t="s">
        <v>145</v>
      </c>
      <c r="U71" s="67"/>
      <c r="V71" s="67" t="s">
        <v>158</v>
      </c>
      <c r="W71" s="67" t="s">
        <v>157</v>
      </c>
      <c r="X71" s="67" t="s">
        <v>157</v>
      </c>
      <c r="Y71" s="67" t="s">
        <v>671</v>
      </c>
    </row>
    <row r="72" spans="1:28" ht="90" x14ac:dyDescent="0.25">
      <c r="A72">
        <v>11</v>
      </c>
      <c r="B72" s="67" t="s">
        <v>678</v>
      </c>
      <c r="C72" s="108">
        <v>42494</v>
      </c>
      <c r="D72" s="67" t="s">
        <v>679</v>
      </c>
      <c r="E72" s="67" t="s">
        <v>680</v>
      </c>
      <c r="F72" s="67" t="s">
        <v>3</v>
      </c>
      <c r="G72" s="67" t="s">
        <v>3</v>
      </c>
      <c r="H72" s="67" t="s">
        <v>3</v>
      </c>
      <c r="I72" s="67" t="s">
        <v>3</v>
      </c>
      <c r="J72" s="67" t="s">
        <v>3</v>
      </c>
      <c r="K72" s="67" t="s">
        <v>3</v>
      </c>
      <c r="L72" s="67" t="s">
        <v>71</v>
      </c>
      <c r="M72" s="67" t="s">
        <v>3</v>
      </c>
      <c r="N72" s="67" t="s">
        <v>141</v>
      </c>
      <c r="O72" s="67" t="s">
        <v>3</v>
      </c>
      <c r="P72" s="67" t="s">
        <v>681</v>
      </c>
      <c r="Q72" s="67" t="s">
        <v>682</v>
      </c>
      <c r="R72" s="67" t="s">
        <v>145</v>
      </c>
      <c r="S72" s="67" t="s">
        <v>145</v>
      </c>
      <c r="T72" s="67" t="s">
        <v>145</v>
      </c>
      <c r="U72" s="67"/>
      <c r="V72" s="67" t="s">
        <v>145</v>
      </c>
      <c r="W72" s="67" t="s">
        <v>145</v>
      </c>
      <c r="X72" s="67" t="s">
        <v>157</v>
      </c>
      <c r="Y72" s="67" t="s">
        <v>170</v>
      </c>
    </row>
    <row r="73" spans="1:28" ht="409.5" x14ac:dyDescent="0.25">
      <c r="A73">
        <v>12</v>
      </c>
      <c r="B73" s="67" t="s">
        <v>683</v>
      </c>
      <c r="C73" s="108">
        <v>42518</v>
      </c>
      <c r="D73" s="67" t="s">
        <v>684</v>
      </c>
      <c r="E73" s="67" t="s">
        <v>685</v>
      </c>
      <c r="F73" s="67" t="s">
        <v>327</v>
      </c>
      <c r="G73" s="67" t="s">
        <v>686</v>
      </c>
      <c r="H73" s="67" t="s">
        <v>11</v>
      </c>
      <c r="I73" s="67" t="s">
        <v>53</v>
      </c>
      <c r="J73" s="67" t="s">
        <v>139</v>
      </c>
      <c r="K73" s="67" t="s">
        <v>268</v>
      </c>
      <c r="L73" s="67" t="s">
        <v>71</v>
      </c>
      <c r="M73" s="67" t="s">
        <v>111</v>
      </c>
      <c r="N73" s="67" t="s">
        <v>141</v>
      </c>
      <c r="O73" s="67" t="s">
        <v>142</v>
      </c>
      <c r="P73" s="67" t="s">
        <v>687</v>
      </c>
      <c r="Q73" s="67" t="s">
        <v>688</v>
      </c>
      <c r="R73" s="67" t="s">
        <v>145</v>
      </c>
      <c r="S73" s="67" t="s">
        <v>157</v>
      </c>
      <c r="T73" s="67" t="s">
        <v>145</v>
      </c>
      <c r="U73" s="67"/>
      <c r="V73" s="67"/>
      <c r="W73" s="67"/>
      <c r="X73" s="67" t="s">
        <v>157</v>
      </c>
      <c r="Y73" s="67" t="s">
        <v>170</v>
      </c>
    </row>
    <row r="74" spans="1:28" ht="240" x14ac:dyDescent="0.25">
      <c r="A74">
        <v>13</v>
      </c>
      <c r="B74" s="67" t="s">
        <v>689</v>
      </c>
      <c r="C74" s="108">
        <v>42526</v>
      </c>
      <c r="D74" s="67" t="s">
        <v>690</v>
      </c>
      <c r="E74" s="67" t="s">
        <v>691</v>
      </c>
      <c r="F74" s="67" t="s">
        <v>170</v>
      </c>
      <c r="G74" s="67" t="s">
        <v>692</v>
      </c>
      <c r="H74" s="67" t="s">
        <v>6</v>
      </c>
      <c r="I74" s="67" t="s">
        <v>52</v>
      </c>
      <c r="J74" s="67" t="s">
        <v>139</v>
      </c>
      <c r="K74" s="67" t="s">
        <v>693</v>
      </c>
      <c r="L74" s="67" t="s">
        <v>71</v>
      </c>
      <c r="M74" s="67" t="s">
        <v>111</v>
      </c>
      <c r="N74" s="67" t="s">
        <v>306</v>
      </c>
      <c r="O74" s="67" t="s">
        <v>248</v>
      </c>
      <c r="P74" s="67" t="s">
        <v>694</v>
      </c>
      <c r="Q74" s="67" t="s">
        <v>695</v>
      </c>
      <c r="R74" s="67" t="s">
        <v>145</v>
      </c>
      <c r="S74" s="67" t="s">
        <v>157</v>
      </c>
      <c r="T74" s="67" t="s">
        <v>145</v>
      </c>
      <c r="U74" s="67" t="s">
        <v>157</v>
      </c>
      <c r="V74" s="67" t="s">
        <v>157</v>
      </c>
      <c r="W74" s="67" t="s">
        <v>696</v>
      </c>
      <c r="X74" s="67" t="s">
        <v>157</v>
      </c>
      <c r="Y74" s="67" t="s">
        <v>697</v>
      </c>
      <c r="Z74" s="110" t="s">
        <v>698</v>
      </c>
      <c r="AA74" s="67" t="s">
        <v>697</v>
      </c>
    </row>
    <row r="75" spans="1:28" ht="75" x14ac:dyDescent="0.25">
      <c r="A75">
        <v>14</v>
      </c>
      <c r="B75" s="67" t="s">
        <v>699</v>
      </c>
      <c r="C75" s="108">
        <v>42539</v>
      </c>
      <c r="D75" s="67" t="s">
        <v>700</v>
      </c>
      <c r="E75" s="67" t="s">
        <v>213</v>
      </c>
      <c r="F75" s="67" t="s">
        <v>214</v>
      </c>
      <c r="G75" s="67" t="s">
        <v>215</v>
      </c>
      <c r="H75" s="67" t="s">
        <v>5</v>
      </c>
      <c r="I75" s="67" t="s">
        <v>53</v>
      </c>
      <c r="J75" s="67" t="s">
        <v>139</v>
      </c>
      <c r="K75" s="67" t="s">
        <v>701</v>
      </c>
      <c r="L75" s="67" t="s">
        <v>71</v>
      </c>
      <c r="M75" s="67" t="s">
        <v>111</v>
      </c>
      <c r="N75" s="67" t="s">
        <v>523</v>
      </c>
      <c r="O75" s="67" t="s">
        <v>142</v>
      </c>
      <c r="P75" s="67" t="s">
        <v>702</v>
      </c>
      <c r="Q75" s="67" t="s">
        <v>703</v>
      </c>
      <c r="R75" s="67" t="s">
        <v>491</v>
      </c>
      <c r="S75" s="67" t="s">
        <v>491</v>
      </c>
      <c r="T75" s="67" t="s">
        <v>491</v>
      </c>
      <c r="U75" s="67"/>
      <c r="V75" s="67" t="s">
        <v>491</v>
      </c>
      <c r="W75" s="67" t="s">
        <v>491</v>
      </c>
      <c r="X75" s="67" t="s">
        <v>491</v>
      </c>
      <c r="Y75" s="67" t="s">
        <v>491</v>
      </c>
    </row>
    <row r="76" spans="1:28" ht="135" x14ac:dyDescent="0.25">
      <c r="A76">
        <v>15</v>
      </c>
      <c r="B76" s="67" t="s">
        <v>704</v>
      </c>
      <c r="C76" s="108">
        <v>42562</v>
      </c>
      <c r="D76" s="67" t="s">
        <v>588</v>
      </c>
      <c r="E76" s="67" t="s">
        <v>705</v>
      </c>
      <c r="F76" s="67" t="s">
        <v>3</v>
      </c>
      <c r="G76" s="67" t="s">
        <v>3</v>
      </c>
      <c r="H76" s="67" t="s">
        <v>3</v>
      </c>
      <c r="I76" s="67" t="s">
        <v>3</v>
      </c>
      <c r="J76" s="67" t="s">
        <v>3</v>
      </c>
      <c r="K76" s="67" t="s">
        <v>3</v>
      </c>
      <c r="L76" s="67" t="s">
        <v>71</v>
      </c>
      <c r="M76" s="67" t="s">
        <v>3</v>
      </c>
      <c r="N76" s="67" t="s">
        <v>141</v>
      </c>
      <c r="O76" s="67" t="s">
        <v>3</v>
      </c>
      <c r="P76" s="67" t="s">
        <v>706</v>
      </c>
      <c r="Q76" s="67" t="s">
        <v>707</v>
      </c>
      <c r="R76" s="67" t="s">
        <v>145</v>
      </c>
      <c r="S76" s="67" t="s">
        <v>145</v>
      </c>
      <c r="T76" s="67" t="s">
        <v>145</v>
      </c>
      <c r="U76" s="67"/>
      <c r="V76" s="67" t="s">
        <v>145</v>
      </c>
      <c r="W76" s="67" t="s">
        <v>145</v>
      </c>
      <c r="X76" s="67" t="s">
        <v>157</v>
      </c>
      <c r="Y76" s="67" t="s">
        <v>491</v>
      </c>
    </row>
    <row r="77" spans="1:28" ht="315" x14ac:dyDescent="0.25">
      <c r="A77">
        <v>16</v>
      </c>
      <c r="B77" s="67" t="s">
        <v>708</v>
      </c>
      <c r="C77" s="108">
        <v>42568</v>
      </c>
      <c r="D77" s="67" t="s">
        <v>709</v>
      </c>
      <c r="E77" s="67" t="s">
        <v>170</v>
      </c>
      <c r="F77" s="67" t="s">
        <v>710</v>
      </c>
      <c r="G77" s="67" t="s">
        <v>711</v>
      </c>
      <c r="H77" s="67" t="s">
        <v>10</v>
      </c>
      <c r="I77" s="67" t="s">
        <v>49</v>
      </c>
      <c r="J77" s="67" t="s">
        <v>139</v>
      </c>
      <c r="K77" s="67" t="s">
        <v>712</v>
      </c>
      <c r="L77" s="67" t="s">
        <v>71</v>
      </c>
      <c r="M77" s="67" t="s">
        <v>111</v>
      </c>
      <c r="N77" s="67" t="s">
        <v>306</v>
      </c>
      <c r="O77" s="67" t="s">
        <v>142</v>
      </c>
      <c r="P77" s="67" t="s">
        <v>713</v>
      </c>
      <c r="Q77" s="67" t="s">
        <v>714</v>
      </c>
      <c r="R77" s="67" t="s">
        <v>157</v>
      </c>
      <c r="S77" s="67" t="s">
        <v>170</v>
      </c>
      <c r="T77" s="67" t="s">
        <v>619</v>
      </c>
      <c r="U77" s="67"/>
      <c r="V77" s="67" t="s">
        <v>145</v>
      </c>
      <c r="W77" s="67" t="s">
        <v>145</v>
      </c>
      <c r="X77" s="67" t="s">
        <v>157</v>
      </c>
      <c r="Y77" s="67" t="s">
        <v>170</v>
      </c>
    </row>
    <row r="78" spans="1:28" ht="75" x14ac:dyDescent="0.25">
      <c r="A78">
        <v>17</v>
      </c>
      <c r="B78" s="67" t="s">
        <v>715</v>
      </c>
      <c r="C78" s="108">
        <v>42568</v>
      </c>
      <c r="D78" s="67" t="s">
        <v>716</v>
      </c>
      <c r="E78" s="67" t="s">
        <v>717</v>
      </c>
      <c r="F78" s="67" t="s">
        <v>3</v>
      </c>
      <c r="G78" s="67" t="s">
        <v>3</v>
      </c>
      <c r="H78" s="67" t="s">
        <v>3</v>
      </c>
      <c r="I78" s="67" t="s">
        <v>3</v>
      </c>
      <c r="J78" s="67" t="s">
        <v>3</v>
      </c>
      <c r="K78" s="67" t="s">
        <v>3</v>
      </c>
      <c r="L78" s="67" t="s">
        <v>71</v>
      </c>
      <c r="M78" s="67" t="s">
        <v>3</v>
      </c>
      <c r="N78" s="67" t="s">
        <v>141</v>
      </c>
      <c r="O78" s="67" t="s">
        <v>3</v>
      </c>
      <c r="P78" s="67" t="s">
        <v>718</v>
      </c>
      <c r="Q78" s="67" t="s">
        <v>719</v>
      </c>
      <c r="R78" s="67" t="s">
        <v>145</v>
      </c>
      <c r="S78" s="67" t="s">
        <v>145</v>
      </c>
      <c r="T78" s="67" t="s">
        <v>145</v>
      </c>
      <c r="U78" s="67"/>
      <c r="V78" s="67" t="s">
        <v>145</v>
      </c>
      <c r="W78" s="67" t="s">
        <v>145</v>
      </c>
      <c r="X78" s="67" t="s">
        <v>157</v>
      </c>
      <c r="Y78" s="67" t="s">
        <v>170</v>
      </c>
    </row>
    <row r="79" spans="1:28" ht="285" x14ac:dyDescent="0.25">
      <c r="A79">
        <v>18</v>
      </c>
      <c r="B79" s="67" t="s">
        <v>720</v>
      </c>
      <c r="C79" s="108">
        <v>42574</v>
      </c>
      <c r="D79" s="67" t="s">
        <v>721</v>
      </c>
      <c r="E79" s="67" t="s">
        <v>722</v>
      </c>
      <c r="F79" s="67" t="s">
        <v>170</v>
      </c>
      <c r="G79" s="67" t="s">
        <v>723</v>
      </c>
      <c r="H79" s="67" t="s">
        <v>13</v>
      </c>
      <c r="I79" s="67" t="s">
        <v>50</v>
      </c>
      <c r="J79" s="67" t="s">
        <v>139</v>
      </c>
      <c r="K79" s="67" t="s">
        <v>724</v>
      </c>
      <c r="L79" s="67" t="s">
        <v>71</v>
      </c>
      <c r="M79" s="67" t="s">
        <v>111</v>
      </c>
      <c r="N79" s="67" t="s">
        <v>523</v>
      </c>
      <c r="O79" s="67" t="s">
        <v>142</v>
      </c>
      <c r="P79" s="67" t="s">
        <v>725</v>
      </c>
      <c r="Q79" s="67" t="s">
        <v>726</v>
      </c>
      <c r="R79" s="67" t="s">
        <v>157</v>
      </c>
      <c r="S79" s="67" t="s">
        <v>157</v>
      </c>
      <c r="T79" s="67" t="s">
        <v>491</v>
      </c>
      <c r="U79" s="67"/>
      <c r="V79" s="67" t="s">
        <v>491</v>
      </c>
      <c r="W79" s="67" t="s">
        <v>491</v>
      </c>
      <c r="X79" s="67" t="s">
        <v>157</v>
      </c>
      <c r="Y79" s="67" t="s">
        <v>170</v>
      </c>
    </row>
    <row r="80" spans="1:28" ht="345" x14ac:dyDescent="0.25">
      <c r="A80">
        <v>19</v>
      </c>
      <c r="B80" s="67" t="s">
        <v>727</v>
      </c>
      <c r="C80" s="108">
        <v>42595</v>
      </c>
      <c r="D80" s="67" t="s">
        <v>728</v>
      </c>
      <c r="E80" s="67" t="s">
        <v>729</v>
      </c>
      <c r="F80" s="67" t="s">
        <v>3</v>
      </c>
      <c r="G80" s="67" t="s">
        <v>3</v>
      </c>
      <c r="H80" s="67" t="s">
        <v>3</v>
      </c>
      <c r="I80" s="67" t="s">
        <v>3</v>
      </c>
      <c r="J80" s="67" t="s">
        <v>3</v>
      </c>
      <c r="K80" s="67" t="s">
        <v>730</v>
      </c>
      <c r="L80" s="67" t="s">
        <v>72</v>
      </c>
      <c r="M80" s="67" t="s">
        <v>3</v>
      </c>
      <c r="N80" s="67" t="s">
        <v>141</v>
      </c>
      <c r="O80" s="67" t="s">
        <v>3</v>
      </c>
      <c r="P80" s="67" t="s">
        <v>731</v>
      </c>
      <c r="Q80" s="67" t="s">
        <v>732</v>
      </c>
      <c r="R80" s="67" t="s">
        <v>145</v>
      </c>
      <c r="S80" s="67" t="s">
        <v>145</v>
      </c>
      <c r="T80" s="67" t="s">
        <v>145</v>
      </c>
      <c r="U80" s="67"/>
      <c r="V80" s="67" t="s">
        <v>158</v>
      </c>
      <c r="W80" s="67" t="s">
        <v>145</v>
      </c>
      <c r="X80" s="67" t="s">
        <v>157</v>
      </c>
      <c r="Y80" s="67" t="s">
        <v>170</v>
      </c>
    </row>
    <row r="81" spans="1:28" ht="240" x14ac:dyDescent="0.25">
      <c r="A81">
        <v>20</v>
      </c>
      <c r="B81" s="67" t="s">
        <v>733</v>
      </c>
      <c r="C81" s="108">
        <v>42595</v>
      </c>
      <c r="D81" s="67" t="s">
        <v>734</v>
      </c>
      <c r="E81" s="67" t="s">
        <v>735</v>
      </c>
      <c r="F81" s="67" t="s">
        <v>170</v>
      </c>
      <c r="G81" s="67" t="s">
        <v>736</v>
      </c>
      <c r="H81" s="67" t="s">
        <v>9</v>
      </c>
      <c r="I81" s="67" t="s">
        <v>53</v>
      </c>
      <c r="J81" s="67" t="s">
        <v>139</v>
      </c>
      <c r="K81" s="67" t="s">
        <v>737</v>
      </c>
      <c r="L81" s="67" t="s">
        <v>71</v>
      </c>
      <c r="M81" s="67" t="s">
        <v>111</v>
      </c>
      <c r="N81" s="67" t="s">
        <v>306</v>
      </c>
      <c r="O81" s="67" t="s">
        <v>738</v>
      </c>
      <c r="P81" s="67" t="s">
        <v>739</v>
      </c>
      <c r="Q81" s="67" t="s">
        <v>740</v>
      </c>
      <c r="R81" s="67" t="s">
        <v>157</v>
      </c>
      <c r="S81" s="67" t="s">
        <v>157</v>
      </c>
      <c r="T81" s="67" t="s">
        <v>491</v>
      </c>
      <c r="U81" s="67" t="s">
        <v>157</v>
      </c>
      <c r="V81" s="67" t="s">
        <v>157</v>
      </c>
      <c r="W81" s="67" t="s">
        <v>741</v>
      </c>
      <c r="X81" s="67" t="s">
        <v>157</v>
      </c>
      <c r="Y81" s="67" t="s">
        <v>742</v>
      </c>
      <c r="Z81" s="110" t="s">
        <v>743</v>
      </c>
      <c r="AA81" s="107" t="s">
        <v>744</v>
      </c>
      <c r="AB81" s="67" t="s">
        <v>93</v>
      </c>
    </row>
    <row r="82" spans="1:28" ht="270" x14ac:dyDescent="0.25">
      <c r="A82">
        <v>21</v>
      </c>
      <c r="B82" s="67" t="s">
        <v>745</v>
      </c>
      <c r="C82" s="108">
        <v>42596</v>
      </c>
      <c r="D82" s="67" t="s">
        <v>746</v>
      </c>
      <c r="E82" s="67" t="s">
        <v>747</v>
      </c>
      <c r="F82" s="67" t="s">
        <v>748</v>
      </c>
      <c r="G82" s="67" t="s">
        <v>226</v>
      </c>
      <c r="H82" s="67" t="s">
        <v>9</v>
      </c>
      <c r="I82" s="67" t="s">
        <v>53</v>
      </c>
      <c r="J82" s="67" t="s">
        <v>139</v>
      </c>
      <c r="K82" s="67" t="s">
        <v>319</v>
      </c>
      <c r="L82" s="67" t="s">
        <v>71</v>
      </c>
      <c r="M82" s="67" t="s">
        <v>111</v>
      </c>
      <c r="N82" s="67" t="s">
        <v>141</v>
      </c>
      <c r="O82" s="67" t="s">
        <v>142</v>
      </c>
      <c r="P82" s="67" t="s">
        <v>749</v>
      </c>
      <c r="Q82" s="67" t="s">
        <v>750</v>
      </c>
      <c r="R82" s="67" t="s">
        <v>145</v>
      </c>
      <c r="S82" s="67" t="s">
        <v>218</v>
      </c>
      <c r="T82" s="67" t="s">
        <v>145</v>
      </c>
      <c r="U82" s="67" t="s">
        <v>157</v>
      </c>
      <c r="V82" s="67" t="s">
        <v>157</v>
      </c>
      <c r="W82" s="67" t="s">
        <v>63</v>
      </c>
      <c r="X82" s="67" t="s">
        <v>157</v>
      </c>
      <c r="Y82" s="67" t="s">
        <v>170</v>
      </c>
      <c r="Z82" s="120" t="s">
        <v>750</v>
      </c>
      <c r="AA82" s="67" t="s">
        <v>751</v>
      </c>
    </row>
    <row r="83" spans="1:28" ht="180" x14ac:dyDescent="0.25">
      <c r="A83">
        <v>22</v>
      </c>
      <c r="B83" s="67" t="s">
        <v>752</v>
      </c>
      <c r="C83" s="108">
        <v>42638</v>
      </c>
      <c r="D83" s="67" t="s">
        <v>753</v>
      </c>
      <c r="E83" s="67" t="s">
        <v>754</v>
      </c>
      <c r="F83" s="67" t="s">
        <v>755</v>
      </c>
      <c r="G83" s="67" t="s">
        <v>756</v>
      </c>
      <c r="H83" s="67" t="s">
        <v>11</v>
      </c>
      <c r="I83" s="67" t="s">
        <v>53</v>
      </c>
      <c r="J83" s="67" t="s">
        <v>139</v>
      </c>
      <c r="K83" s="67" t="s">
        <v>665</v>
      </c>
      <c r="L83" s="67" t="s">
        <v>71</v>
      </c>
      <c r="M83" s="67" t="s">
        <v>111</v>
      </c>
      <c r="N83" s="67" t="s">
        <v>141</v>
      </c>
      <c r="O83" s="67" t="s">
        <v>142</v>
      </c>
      <c r="P83" s="67" t="s">
        <v>757</v>
      </c>
      <c r="Q83" s="67" t="s">
        <v>758</v>
      </c>
      <c r="R83" s="67" t="s">
        <v>157</v>
      </c>
      <c r="S83" s="67" t="s">
        <v>157</v>
      </c>
      <c r="T83" s="67" t="s">
        <v>145</v>
      </c>
      <c r="U83" s="67" t="s">
        <v>157</v>
      </c>
      <c r="V83" s="67" t="s">
        <v>157</v>
      </c>
      <c r="W83" s="67" t="s">
        <v>61</v>
      </c>
      <c r="X83" s="67" t="s">
        <v>170</v>
      </c>
      <c r="Y83" s="67" t="s">
        <v>170</v>
      </c>
      <c r="Z83" s="67" t="s">
        <v>758</v>
      </c>
      <c r="AA83" s="67" t="s">
        <v>759</v>
      </c>
    </row>
    <row r="84" spans="1:28" ht="285" x14ac:dyDescent="0.25">
      <c r="A84">
        <v>23</v>
      </c>
      <c r="B84" s="67" t="s">
        <v>760</v>
      </c>
      <c r="C84" s="108">
        <v>42644</v>
      </c>
      <c r="D84" s="67" t="s">
        <v>761</v>
      </c>
      <c r="E84" s="67" t="s">
        <v>762</v>
      </c>
      <c r="F84" s="67" t="s">
        <v>763</v>
      </c>
      <c r="G84" s="67" t="s">
        <v>338</v>
      </c>
      <c r="H84" s="67" t="s">
        <v>6</v>
      </c>
      <c r="I84" s="67" t="s">
        <v>52</v>
      </c>
      <c r="J84" s="67" t="s">
        <v>139</v>
      </c>
      <c r="K84" s="67" t="s">
        <v>339</v>
      </c>
      <c r="L84" s="67" t="s">
        <v>71</v>
      </c>
      <c r="M84" s="67" t="s">
        <v>111</v>
      </c>
      <c r="N84" s="67" t="s">
        <v>141</v>
      </c>
      <c r="O84" s="67" t="s">
        <v>675</v>
      </c>
      <c r="P84" s="67" t="s">
        <v>764</v>
      </c>
      <c r="Q84" s="67" t="s">
        <v>765</v>
      </c>
      <c r="R84" s="67" t="s">
        <v>157</v>
      </c>
      <c r="S84" s="67" t="s">
        <v>157</v>
      </c>
      <c r="T84" s="67" t="s">
        <v>145</v>
      </c>
      <c r="U84" s="67"/>
      <c r="V84" s="67"/>
      <c r="W84" s="67"/>
      <c r="X84" s="67" t="s">
        <v>157</v>
      </c>
      <c r="Y84" s="67" t="s">
        <v>766</v>
      </c>
    </row>
    <row r="85" spans="1:28" ht="165" x14ac:dyDescent="0.25">
      <c r="A85">
        <v>24</v>
      </c>
      <c r="B85" s="67" t="s">
        <v>767</v>
      </c>
      <c r="C85" s="108">
        <v>42673</v>
      </c>
      <c r="D85" s="67" t="s">
        <v>768</v>
      </c>
      <c r="E85" s="67" t="s">
        <v>769</v>
      </c>
      <c r="F85" s="67" t="s">
        <v>170</v>
      </c>
      <c r="G85" s="67" t="s">
        <v>770</v>
      </c>
      <c r="H85" s="67" t="s">
        <v>27</v>
      </c>
      <c r="I85" s="67" t="s">
        <v>51</v>
      </c>
      <c r="J85" s="67" t="s">
        <v>139</v>
      </c>
      <c r="K85" s="67" t="s">
        <v>771</v>
      </c>
      <c r="L85" s="67" t="s">
        <v>72</v>
      </c>
      <c r="M85" s="67" t="s">
        <v>111</v>
      </c>
      <c r="N85" s="67" t="s">
        <v>141</v>
      </c>
      <c r="O85" s="67" t="s">
        <v>142</v>
      </c>
      <c r="P85" s="67" t="s">
        <v>772</v>
      </c>
      <c r="Q85" s="67" t="s">
        <v>773</v>
      </c>
      <c r="R85" s="67" t="s">
        <v>157</v>
      </c>
      <c r="S85" s="67" t="s">
        <v>145</v>
      </c>
      <c r="T85" s="67" t="s">
        <v>491</v>
      </c>
      <c r="U85" s="67"/>
      <c r="V85" s="67" t="s">
        <v>145</v>
      </c>
      <c r="W85" s="67" t="s">
        <v>145</v>
      </c>
      <c r="X85" s="67" t="s">
        <v>157</v>
      </c>
      <c r="Y85" s="67" t="s">
        <v>170</v>
      </c>
    </row>
    <row r="86" spans="1:28" ht="210" x14ac:dyDescent="0.25">
      <c r="A86">
        <v>25</v>
      </c>
      <c r="B86" s="67" t="s">
        <v>774</v>
      </c>
      <c r="C86" s="108">
        <v>42697</v>
      </c>
      <c r="D86" s="67" t="s">
        <v>775</v>
      </c>
      <c r="E86" s="67" t="s">
        <v>776</v>
      </c>
      <c r="F86" s="67" t="s">
        <v>3</v>
      </c>
      <c r="G86" s="67" t="s">
        <v>3</v>
      </c>
      <c r="H86" s="67" t="s">
        <v>3</v>
      </c>
      <c r="I86" s="67" t="s">
        <v>3</v>
      </c>
      <c r="J86" s="67" t="s">
        <v>3</v>
      </c>
      <c r="K86" s="67" t="s">
        <v>140</v>
      </c>
      <c r="L86" s="67" t="s">
        <v>71</v>
      </c>
      <c r="M86" s="67" t="s">
        <v>3</v>
      </c>
      <c r="N86" s="67" t="s">
        <v>141</v>
      </c>
      <c r="O86" s="67" t="s">
        <v>3</v>
      </c>
      <c r="P86" s="67" t="s">
        <v>777</v>
      </c>
      <c r="Q86" s="67" t="s">
        <v>778</v>
      </c>
      <c r="R86" s="67" t="s">
        <v>145</v>
      </c>
      <c r="S86" s="67" t="s">
        <v>145</v>
      </c>
      <c r="T86" s="67" t="s">
        <v>145</v>
      </c>
      <c r="U86" s="67"/>
      <c r="V86" s="67" t="s">
        <v>145</v>
      </c>
      <c r="W86" s="67" t="s">
        <v>145</v>
      </c>
      <c r="X86" s="67" t="s">
        <v>157</v>
      </c>
      <c r="Y86" s="67" t="s">
        <v>779</v>
      </c>
    </row>
    <row r="87" spans="1:28" ht="300" x14ac:dyDescent="0.25">
      <c r="A87" s="104">
        <v>2</v>
      </c>
      <c r="B87" s="67" t="s">
        <v>780</v>
      </c>
      <c r="C87" s="108">
        <v>42764</v>
      </c>
      <c r="D87" s="67" t="s">
        <v>781</v>
      </c>
      <c r="E87" s="67" t="s">
        <v>782</v>
      </c>
      <c r="F87" s="67" t="s">
        <v>783</v>
      </c>
      <c r="G87" s="67" t="s">
        <v>205</v>
      </c>
      <c r="H87" s="67" t="s">
        <v>7</v>
      </c>
      <c r="I87" s="67" t="s">
        <v>52</v>
      </c>
      <c r="J87" s="67" t="s">
        <v>139</v>
      </c>
      <c r="K87" s="67" t="s">
        <v>206</v>
      </c>
      <c r="L87" s="67" t="s">
        <v>71</v>
      </c>
      <c r="M87" s="67" t="s">
        <v>111</v>
      </c>
      <c r="N87" s="67" t="s">
        <v>141</v>
      </c>
      <c r="O87" s="67" t="s">
        <v>142</v>
      </c>
      <c r="P87" s="67" t="s">
        <v>784</v>
      </c>
      <c r="Q87" s="67" t="s">
        <v>785</v>
      </c>
      <c r="R87" s="67" t="s">
        <v>157</v>
      </c>
      <c r="S87" s="67" t="s">
        <v>157</v>
      </c>
      <c r="T87" s="67" t="s">
        <v>170</v>
      </c>
      <c r="U87" s="67"/>
      <c r="V87" s="67" t="s">
        <v>170</v>
      </c>
      <c r="W87" s="67" t="s">
        <v>170</v>
      </c>
      <c r="X87" s="67" t="s">
        <v>157</v>
      </c>
      <c r="Y87" s="67" t="s">
        <v>170</v>
      </c>
    </row>
    <row r="88" spans="1:28" ht="345" x14ac:dyDescent="0.25">
      <c r="A88" s="104">
        <v>3</v>
      </c>
      <c r="B88" s="67" t="s">
        <v>786</v>
      </c>
      <c r="C88" s="108">
        <v>42764</v>
      </c>
      <c r="D88" s="67" t="s">
        <v>787</v>
      </c>
      <c r="E88" s="67" t="s">
        <v>788</v>
      </c>
      <c r="F88" s="67" t="s">
        <v>789</v>
      </c>
      <c r="G88" s="67" t="s">
        <v>790</v>
      </c>
      <c r="H88" s="67" t="s">
        <v>25</v>
      </c>
      <c r="I88" s="67" t="s">
        <v>50</v>
      </c>
      <c r="J88" s="67" t="s">
        <v>139</v>
      </c>
      <c r="K88" s="67" t="s">
        <v>791</v>
      </c>
      <c r="L88" s="67" t="s">
        <v>71</v>
      </c>
      <c r="M88" s="67" t="s">
        <v>111</v>
      </c>
      <c r="N88" s="67" t="s">
        <v>141</v>
      </c>
      <c r="O88" s="67" t="s">
        <v>248</v>
      </c>
      <c r="P88" s="67" t="s">
        <v>792</v>
      </c>
      <c r="Q88" s="67" t="s">
        <v>793</v>
      </c>
      <c r="R88" s="67" t="s">
        <v>145</v>
      </c>
      <c r="S88" s="67" t="s">
        <v>158</v>
      </c>
      <c r="T88" s="67" t="s">
        <v>158</v>
      </c>
      <c r="U88" s="67"/>
      <c r="V88" s="67" t="s">
        <v>158</v>
      </c>
      <c r="W88" s="67" t="s">
        <v>158</v>
      </c>
      <c r="X88" s="67" t="s">
        <v>157</v>
      </c>
      <c r="Y88" s="67" t="s">
        <v>794</v>
      </c>
    </row>
    <row r="89" spans="1:28" ht="165" x14ac:dyDescent="0.25">
      <c r="A89" s="104">
        <v>4</v>
      </c>
      <c r="B89" s="67" t="s">
        <v>795</v>
      </c>
      <c r="C89" s="108">
        <v>42774</v>
      </c>
      <c r="D89" s="67" t="s">
        <v>796</v>
      </c>
      <c r="E89" s="67" t="s">
        <v>797</v>
      </c>
      <c r="F89" s="67" t="s">
        <v>356</v>
      </c>
      <c r="G89" s="67" t="s">
        <v>215</v>
      </c>
      <c r="H89" s="67" t="s">
        <v>5</v>
      </c>
      <c r="I89" s="67" t="s">
        <v>53</v>
      </c>
      <c r="J89" s="67" t="s">
        <v>139</v>
      </c>
      <c r="K89" s="67" t="s">
        <v>798</v>
      </c>
      <c r="L89" s="67" t="s">
        <v>71</v>
      </c>
      <c r="M89" s="67" t="s">
        <v>111</v>
      </c>
      <c r="N89" s="67" t="s">
        <v>141</v>
      </c>
      <c r="O89" s="67" t="s">
        <v>799</v>
      </c>
      <c r="P89" s="67" t="s">
        <v>800</v>
      </c>
      <c r="Q89" s="67" t="s">
        <v>801</v>
      </c>
      <c r="R89" s="67" t="s">
        <v>157</v>
      </c>
      <c r="S89" s="67" t="s">
        <v>158</v>
      </c>
      <c r="T89" s="67" t="s">
        <v>158</v>
      </c>
      <c r="U89" s="67"/>
      <c r="V89" s="67" t="s">
        <v>158</v>
      </c>
      <c r="W89" s="67" t="s">
        <v>158</v>
      </c>
      <c r="X89" s="67" t="s">
        <v>157</v>
      </c>
      <c r="Y89" s="67" t="s">
        <v>170</v>
      </c>
    </row>
    <row r="90" spans="1:28" ht="240" x14ac:dyDescent="0.25">
      <c r="A90" s="104">
        <v>5</v>
      </c>
      <c r="B90" s="67" t="s">
        <v>802</v>
      </c>
      <c r="C90" s="108">
        <v>42774</v>
      </c>
      <c r="D90" s="67" t="s">
        <v>803</v>
      </c>
      <c r="E90" s="67" t="s">
        <v>804</v>
      </c>
      <c r="F90" s="67" t="s">
        <v>805</v>
      </c>
      <c r="G90" s="67" t="s">
        <v>806</v>
      </c>
      <c r="H90" s="67" t="s">
        <v>10</v>
      </c>
      <c r="I90" s="67" t="s">
        <v>807</v>
      </c>
      <c r="J90" s="67" t="s">
        <v>139</v>
      </c>
      <c r="K90" s="67" t="s">
        <v>808</v>
      </c>
      <c r="L90" s="67" t="s">
        <v>71</v>
      </c>
      <c r="M90" s="67" t="s">
        <v>111</v>
      </c>
      <c r="N90" s="67" t="s">
        <v>141</v>
      </c>
      <c r="O90" s="67" t="s">
        <v>248</v>
      </c>
      <c r="P90" s="67" t="s">
        <v>809</v>
      </c>
      <c r="Q90" s="67" t="s">
        <v>810</v>
      </c>
      <c r="R90" s="67" t="s">
        <v>145</v>
      </c>
      <c r="S90" s="67" t="s">
        <v>145</v>
      </c>
      <c r="T90" s="67" t="s">
        <v>145</v>
      </c>
      <c r="U90" s="67"/>
      <c r="V90" s="67" t="s">
        <v>145</v>
      </c>
      <c r="W90" s="67" t="s">
        <v>145</v>
      </c>
      <c r="X90" s="67" t="s">
        <v>157</v>
      </c>
      <c r="Y90" s="67" t="s">
        <v>811</v>
      </c>
    </row>
    <row r="91" spans="1:28" ht="255" x14ac:dyDescent="0.25">
      <c r="A91" s="104">
        <v>6</v>
      </c>
      <c r="B91" s="67" t="s">
        <v>812</v>
      </c>
      <c r="C91" s="108">
        <v>42788</v>
      </c>
      <c r="D91" s="67" t="s">
        <v>813</v>
      </c>
      <c r="E91" s="67" t="s">
        <v>814</v>
      </c>
      <c r="F91" s="67" t="s">
        <v>815</v>
      </c>
      <c r="G91" s="67" t="s">
        <v>816</v>
      </c>
      <c r="H91" s="67" t="s">
        <v>54</v>
      </c>
      <c r="I91" s="67" t="s">
        <v>54</v>
      </c>
      <c r="J91" s="67" t="s">
        <v>817</v>
      </c>
      <c r="K91" s="67" t="s">
        <v>818</v>
      </c>
      <c r="L91" s="67" t="s">
        <v>71</v>
      </c>
      <c r="M91" s="67" t="s">
        <v>111</v>
      </c>
      <c r="N91" s="67" t="s">
        <v>141</v>
      </c>
      <c r="O91" s="67" t="s">
        <v>142</v>
      </c>
      <c r="P91" s="67" t="s">
        <v>819</v>
      </c>
      <c r="Q91" s="67" t="s">
        <v>820</v>
      </c>
      <c r="R91" s="67" t="s">
        <v>145</v>
      </c>
      <c r="S91" s="67" t="s">
        <v>145</v>
      </c>
      <c r="T91" s="67" t="s">
        <v>145</v>
      </c>
      <c r="U91" s="67"/>
      <c r="V91" s="67" t="s">
        <v>145</v>
      </c>
      <c r="W91" s="67" t="s">
        <v>145</v>
      </c>
      <c r="X91" s="67" t="s">
        <v>157</v>
      </c>
      <c r="Y91" s="67" t="s">
        <v>170</v>
      </c>
    </row>
    <row r="92" spans="1:28" ht="150" x14ac:dyDescent="0.25">
      <c r="A92" s="104">
        <v>8</v>
      </c>
      <c r="B92" s="67" t="s">
        <v>821</v>
      </c>
      <c r="C92" s="108">
        <v>42798</v>
      </c>
      <c r="D92" s="67" t="s">
        <v>822</v>
      </c>
      <c r="E92" s="67" t="s">
        <v>213</v>
      </c>
      <c r="F92" s="67" t="s">
        <v>214</v>
      </c>
      <c r="G92" s="67" t="s">
        <v>215</v>
      </c>
      <c r="H92" s="67" t="s">
        <v>5</v>
      </c>
      <c r="I92" s="67" t="s">
        <v>53</v>
      </c>
      <c r="J92" s="67" t="s">
        <v>139</v>
      </c>
      <c r="K92" s="67" t="s">
        <v>385</v>
      </c>
      <c r="L92" s="67" t="s">
        <v>71</v>
      </c>
      <c r="M92" s="67" t="s">
        <v>111</v>
      </c>
      <c r="N92" s="67" t="s">
        <v>141</v>
      </c>
      <c r="O92" s="67" t="s">
        <v>142</v>
      </c>
      <c r="P92" s="67" t="s">
        <v>823</v>
      </c>
      <c r="Q92" s="67" t="s">
        <v>824</v>
      </c>
      <c r="R92" s="67" t="s">
        <v>145</v>
      </c>
      <c r="S92" s="67" t="s">
        <v>145</v>
      </c>
      <c r="T92" s="67" t="s">
        <v>145</v>
      </c>
      <c r="U92" s="67"/>
      <c r="V92" s="67" t="s">
        <v>145</v>
      </c>
      <c r="W92" s="67" t="s">
        <v>145</v>
      </c>
      <c r="X92" s="67" t="s">
        <v>157</v>
      </c>
      <c r="Y92" s="67" t="s">
        <v>170</v>
      </c>
    </row>
    <row r="93" spans="1:28" ht="240" x14ac:dyDescent="0.25">
      <c r="A93" s="104">
        <v>11</v>
      </c>
      <c r="B93" s="67" t="s">
        <v>825</v>
      </c>
      <c r="C93" s="108">
        <v>42806</v>
      </c>
      <c r="D93" s="67" t="s">
        <v>826</v>
      </c>
      <c r="E93" s="67" t="s">
        <v>827</v>
      </c>
      <c r="F93" s="67" t="s">
        <v>828</v>
      </c>
      <c r="G93" s="67" t="s">
        <v>829</v>
      </c>
      <c r="H93" s="67" t="s">
        <v>15</v>
      </c>
      <c r="I93" s="67" t="s">
        <v>50</v>
      </c>
      <c r="J93" s="67" t="s">
        <v>139</v>
      </c>
      <c r="K93" s="67" t="s">
        <v>830</v>
      </c>
      <c r="L93" s="67" t="s">
        <v>71</v>
      </c>
      <c r="M93" s="67" t="s">
        <v>111</v>
      </c>
      <c r="N93" s="67" t="s">
        <v>141</v>
      </c>
      <c r="O93" s="67" t="s">
        <v>675</v>
      </c>
      <c r="P93" s="67" t="s">
        <v>831</v>
      </c>
      <c r="Q93" s="67" t="s">
        <v>832</v>
      </c>
      <c r="R93" s="67" t="s">
        <v>170</v>
      </c>
      <c r="S93" s="67" t="s">
        <v>170</v>
      </c>
      <c r="T93" s="67" t="s">
        <v>170</v>
      </c>
      <c r="U93" s="67"/>
      <c r="V93" s="67" t="s">
        <v>170</v>
      </c>
      <c r="W93" s="67" t="s">
        <v>170</v>
      </c>
      <c r="X93" s="67" t="s">
        <v>157</v>
      </c>
      <c r="Y93" s="67" t="s">
        <v>833</v>
      </c>
    </row>
    <row r="94" spans="1:28" ht="165" x14ac:dyDescent="0.25">
      <c r="A94" s="104">
        <v>13</v>
      </c>
      <c r="B94" s="67" t="s">
        <v>834</v>
      </c>
      <c r="C94" s="108">
        <v>42830</v>
      </c>
      <c r="D94" s="67" t="s">
        <v>835</v>
      </c>
      <c r="E94" s="67" t="s">
        <v>836</v>
      </c>
      <c r="F94" s="67" t="s">
        <v>837</v>
      </c>
      <c r="G94" s="67" t="s">
        <v>838</v>
      </c>
      <c r="H94" s="67" t="s">
        <v>6</v>
      </c>
      <c r="I94" s="67" t="s">
        <v>52</v>
      </c>
      <c r="J94" s="67" t="s">
        <v>139</v>
      </c>
      <c r="K94" s="67" t="s">
        <v>616</v>
      </c>
      <c r="L94" s="67" t="s">
        <v>71</v>
      </c>
      <c r="M94" s="67" t="s">
        <v>111</v>
      </c>
      <c r="N94" s="67" t="s">
        <v>141</v>
      </c>
      <c r="O94" s="67" t="s">
        <v>142</v>
      </c>
      <c r="P94" s="67" t="s">
        <v>839</v>
      </c>
      <c r="Q94" s="67" t="s">
        <v>840</v>
      </c>
      <c r="R94" s="67" t="s">
        <v>145</v>
      </c>
      <c r="S94" s="67" t="s">
        <v>145</v>
      </c>
      <c r="T94" s="67" t="s">
        <v>145</v>
      </c>
      <c r="U94" s="67"/>
      <c r="V94" s="67" t="s">
        <v>145</v>
      </c>
      <c r="W94" s="67" t="s">
        <v>145</v>
      </c>
      <c r="X94" s="67" t="s">
        <v>145</v>
      </c>
      <c r="Y94" s="67" t="s">
        <v>145</v>
      </c>
    </row>
    <row r="95" spans="1:28" ht="409.5" x14ac:dyDescent="0.25">
      <c r="A95" s="104">
        <v>14</v>
      </c>
      <c r="B95" s="67" t="s">
        <v>841</v>
      </c>
      <c r="C95" s="108">
        <v>42833</v>
      </c>
      <c r="D95" s="121" t="s">
        <v>842</v>
      </c>
      <c r="E95" s="67" t="s">
        <v>843</v>
      </c>
      <c r="F95" s="67" t="s">
        <v>844</v>
      </c>
      <c r="G95" s="67" t="s">
        <v>845</v>
      </c>
      <c r="H95" s="67" t="s">
        <v>5</v>
      </c>
      <c r="I95" s="67" t="s">
        <v>53</v>
      </c>
      <c r="J95" s="67" t="s">
        <v>139</v>
      </c>
      <c r="K95" s="67" t="s">
        <v>385</v>
      </c>
      <c r="L95" s="67" t="s">
        <v>71</v>
      </c>
      <c r="M95" s="67" t="s">
        <v>111</v>
      </c>
      <c r="N95" s="67" t="s">
        <v>141</v>
      </c>
      <c r="O95" s="67" t="s">
        <v>142</v>
      </c>
      <c r="P95" s="67" t="s">
        <v>846</v>
      </c>
      <c r="Q95" s="67" t="s">
        <v>847</v>
      </c>
      <c r="R95" s="67" t="s">
        <v>157</v>
      </c>
      <c r="S95" s="67" t="s">
        <v>145</v>
      </c>
      <c r="T95" s="67" t="s">
        <v>145</v>
      </c>
      <c r="U95" s="67" t="s">
        <v>157</v>
      </c>
      <c r="V95" s="67" t="s">
        <v>310</v>
      </c>
      <c r="W95" s="67" t="s">
        <v>84</v>
      </c>
      <c r="X95" s="67" t="s">
        <v>157</v>
      </c>
      <c r="Y95" s="67" t="s">
        <v>170</v>
      </c>
      <c r="Z95" s="107" t="s">
        <v>848</v>
      </c>
      <c r="AA95" s="67" t="s">
        <v>849</v>
      </c>
    </row>
    <row r="96" spans="1:28" ht="390" x14ac:dyDescent="0.25">
      <c r="A96" s="104">
        <v>15</v>
      </c>
      <c r="B96" s="67" t="s">
        <v>850</v>
      </c>
      <c r="C96" s="108">
        <v>42834</v>
      </c>
      <c r="D96" s="67" t="s">
        <v>584</v>
      </c>
      <c r="E96" s="67" t="s">
        <v>851</v>
      </c>
      <c r="F96" s="67" t="s">
        <v>852</v>
      </c>
      <c r="G96" s="67" t="s">
        <v>853</v>
      </c>
      <c r="H96" s="67" t="s">
        <v>15</v>
      </c>
      <c r="I96" s="67" t="s">
        <v>50</v>
      </c>
      <c r="J96" s="67" t="s">
        <v>139</v>
      </c>
      <c r="K96" s="67" t="s">
        <v>830</v>
      </c>
      <c r="L96" s="67" t="s">
        <v>71</v>
      </c>
      <c r="M96" s="67" t="s">
        <v>111</v>
      </c>
      <c r="N96" s="67" t="s">
        <v>141</v>
      </c>
      <c r="O96" s="67" t="s">
        <v>248</v>
      </c>
      <c r="P96" s="67" t="s">
        <v>854</v>
      </c>
      <c r="Q96" s="67" t="s">
        <v>855</v>
      </c>
      <c r="R96" s="67" t="s">
        <v>157</v>
      </c>
      <c r="S96" s="67" t="s">
        <v>145</v>
      </c>
      <c r="T96" s="67" t="s">
        <v>170</v>
      </c>
      <c r="U96" s="67"/>
      <c r="V96" s="67" t="s">
        <v>145</v>
      </c>
      <c r="W96" s="67" t="s">
        <v>145</v>
      </c>
      <c r="X96" s="67" t="s">
        <v>157</v>
      </c>
      <c r="Y96" s="67" t="s">
        <v>856</v>
      </c>
    </row>
    <row r="97" spans="1:27" ht="300" x14ac:dyDescent="0.25">
      <c r="A97" s="104">
        <v>16</v>
      </c>
      <c r="B97" s="67" t="s">
        <v>857</v>
      </c>
      <c r="C97" s="108">
        <v>42837</v>
      </c>
      <c r="D97" s="67" t="s">
        <v>858</v>
      </c>
      <c r="E97" s="67" t="s">
        <v>859</v>
      </c>
      <c r="F97" s="67" t="s">
        <v>860</v>
      </c>
      <c r="G97" s="67" t="s">
        <v>447</v>
      </c>
      <c r="H97" s="67" t="s">
        <v>6</v>
      </c>
      <c r="I97" s="67" t="s">
        <v>53</v>
      </c>
      <c r="J97" s="67" t="s">
        <v>139</v>
      </c>
      <c r="K97" s="67" t="s">
        <v>818</v>
      </c>
      <c r="L97" s="67" t="s">
        <v>71</v>
      </c>
      <c r="M97" s="67" t="s">
        <v>111</v>
      </c>
      <c r="N97" s="67" t="s">
        <v>141</v>
      </c>
      <c r="O97" s="67" t="s">
        <v>248</v>
      </c>
      <c r="P97" s="67" t="s">
        <v>861</v>
      </c>
      <c r="Q97" s="67" t="s">
        <v>862</v>
      </c>
      <c r="R97" s="67" t="s">
        <v>145</v>
      </c>
      <c r="S97" s="67" t="s">
        <v>145</v>
      </c>
      <c r="T97" s="67" t="s">
        <v>145</v>
      </c>
      <c r="U97" s="67"/>
      <c r="V97" s="67" t="s">
        <v>145</v>
      </c>
      <c r="W97" s="67" t="s">
        <v>145</v>
      </c>
      <c r="X97" s="67" t="s">
        <v>157</v>
      </c>
      <c r="Y97" s="67" t="s">
        <v>863</v>
      </c>
    </row>
    <row r="98" spans="1:27" ht="255" x14ac:dyDescent="0.25">
      <c r="A98" s="104">
        <v>17</v>
      </c>
      <c r="B98" s="67" t="s">
        <v>864</v>
      </c>
      <c r="C98" s="108">
        <v>42841</v>
      </c>
      <c r="D98" s="67" t="s">
        <v>865</v>
      </c>
      <c r="E98" s="67" t="s">
        <v>866</v>
      </c>
      <c r="F98" s="67" t="s">
        <v>356</v>
      </c>
      <c r="G98" s="67" t="s">
        <v>215</v>
      </c>
      <c r="H98" s="67" t="s">
        <v>5</v>
      </c>
      <c r="I98" s="67" t="s">
        <v>53</v>
      </c>
      <c r="J98" s="67" t="s">
        <v>139</v>
      </c>
      <c r="K98" s="67" t="s">
        <v>385</v>
      </c>
      <c r="L98" s="67" t="s">
        <v>71</v>
      </c>
      <c r="M98" s="67" t="s">
        <v>111</v>
      </c>
      <c r="N98" s="67" t="s">
        <v>141</v>
      </c>
      <c r="O98" s="67" t="s">
        <v>799</v>
      </c>
      <c r="P98" s="67" t="s">
        <v>867</v>
      </c>
      <c r="Q98" s="67" t="s">
        <v>868</v>
      </c>
      <c r="R98" s="67" t="s">
        <v>157</v>
      </c>
      <c r="S98" s="67" t="s">
        <v>145</v>
      </c>
      <c r="T98" s="67" t="s">
        <v>869</v>
      </c>
      <c r="U98" s="67"/>
      <c r="V98" s="67" t="s">
        <v>145</v>
      </c>
      <c r="W98" s="67" t="s">
        <v>145</v>
      </c>
      <c r="X98" s="67" t="s">
        <v>619</v>
      </c>
      <c r="Y98" s="67" t="s">
        <v>170</v>
      </c>
    </row>
    <row r="99" spans="1:27" ht="390" x14ac:dyDescent="0.25">
      <c r="A99" s="104">
        <v>18</v>
      </c>
      <c r="B99" s="67" t="s">
        <v>870</v>
      </c>
      <c r="C99" s="108">
        <v>42851</v>
      </c>
      <c r="D99" s="67" t="s">
        <v>871</v>
      </c>
      <c r="E99" s="67" t="s">
        <v>872</v>
      </c>
      <c r="F99" s="67" t="s">
        <v>873</v>
      </c>
      <c r="G99" s="67" t="s">
        <v>642</v>
      </c>
      <c r="H99" s="67" t="s">
        <v>54</v>
      </c>
      <c r="I99" s="67" t="s">
        <v>54</v>
      </c>
      <c r="J99" s="67" t="s">
        <v>643</v>
      </c>
      <c r="K99" s="67" t="s">
        <v>818</v>
      </c>
      <c r="L99" s="67" t="s">
        <v>71</v>
      </c>
      <c r="M99" s="67" t="s">
        <v>111</v>
      </c>
      <c r="N99" s="67" t="s">
        <v>141</v>
      </c>
      <c r="O99" s="67" t="s">
        <v>874</v>
      </c>
      <c r="P99" s="67" t="s">
        <v>875</v>
      </c>
      <c r="Q99" s="67" t="s">
        <v>876</v>
      </c>
      <c r="R99" s="67" t="s">
        <v>145</v>
      </c>
      <c r="S99" s="67" t="s">
        <v>145</v>
      </c>
      <c r="T99" s="67" t="s">
        <v>145</v>
      </c>
      <c r="U99" s="67"/>
      <c r="V99" s="67"/>
      <c r="W99" s="67"/>
      <c r="X99" s="67" t="s">
        <v>145</v>
      </c>
      <c r="Y99" s="67" t="s">
        <v>145</v>
      </c>
    </row>
    <row r="100" spans="1:27" ht="270" x14ac:dyDescent="0.25">
      <c r="A100" s="104">
        <v>19</v>
      </c>
      <c r="B100" s="67" t="s">
        <v>877</v>
      </c>
      <c r="C100" s="108">
        <v>42851</v>
      </c>
      <c r="D100" s="67" t="s">
        <v>878</v>
      </c>
      <c r="E100" s="67" t="s">
        <v>879</v>
      </c>
      <c r="F100" s="67" t="s">
        <v>165</v>
      </c>
      <c r="G100" s="67" t="s">
        <v>166</v>
      </c>
      <c r="H100" s="67" t="s">
        <v>5</v>
      </c>
      <c r="I100" s="67" t="s">
        <v>53</v>
      </c>
      <c r="J100" s="67" t="s">
        <v>139</v>
      </c>
      <c r="K100" s="67" t="s">
        <v>880</v>
      </c>
      <c r="L100" s="67" t="s">
        <v>71</v>
      </c>
      <c r="M100" s="67" t="s">
        <v>111</v>
      </c>
      <c r="N100" s="67" t="s">
        <v>141</v>
      </c>
      <c r="O100" s="67" t="s">
        <v>142</v>
      </c>
      <c r="P100" s="67" t="s">
        <v>881</v>
      </c>
      <c r="Q100" s="67" t="s">
        <v>882</v>
      </c>
      <c r="R100" s="67" t="s">
        <v>145</v>
      </c>
      <c r="S100" s="67" t="s">
        <v>145</v>
      </c>
      <c r="T100" s="67" t="s">
        <v>145</v>
      </c>
      <c r="U100" s="67"/>
      <c r="V100" s="67" t="s">
        <v>145</v>
      </c>
      <c r="W100" s="67" t="s">
        <v>145</v>
      </c>
      <c r="X100" s="67" t="s">
        <v>157</v>
      </c>
      <c r="Y100" s="67" t="s">
        <v>170</v>
      </c>
    </row>
    <row r="101" spans="1:27" ht="270" x14ac:dyDescent="0.25">
      <c r="A101" s="104">
        <v>20</v>
      </c>
      <c r="B101" s="67" t="s">
        <v>883</v>
      </c>
      <c r="C101" s="108">
        <v>42857</v>
      </c>
      <c r="D101" s="67" t="s">
        <v>884</v>
      </c>
      <c r="E101" s="67" t="s">
        <v>885</v>
      </c>
      <c r="F101" s="122" t="s">
        <v>886</v>
      </c>
      <c r="G101" s="67" t="s">
        <v>887</v>
      </c>
      <c r="H101" s="67" t="s">
        <v>14</v>
      </c>
      <c r="I101" s="67" t="s">
        <v>51</v>
      </c>
      <c r="J101" s="67" t="s">
        <v>139</v>
      </c>
      <c r="K101" s="67" t="s">
        <v>888</v>
      </c>
      <c r="L101" s="67" t="s">
        <v>71</v>
      </c>
      <c r="M101" s="67" t="s">
        <v>111</v>
      </c>
      <c r="N101" s="67" t="s">
        <v>141</v>
      </c>
      <c r="O101" s="67" t="s">
        <v>142</v>
      </c>
      <c r="P101" s="67" t="s">
        <v>889</v>
      </c>
      <c r="Q101" s="67" t="s">
        <v>890</v>
      </c>
      <c r="R101" s="67" t="s">
        <v>145</v>
      </c>
      <c r="S101" s="67" t="s">
        <v>157</v>
      </c>
      <c r="T101" s="67" t="s">
        <v>145</v>
      </c>
      <c r="U101" s="67"/>
      <c r="V101" s="67" t="s">
        <v>145</v>
      </c>
      <c r="W101" s="67" t="s">
        <v>145</v>
      </c>
      <c r="X101" s="67" t="s">
        <v>157</v>
      </c>
      <c r="Y101" s="67" t="s">
        <v>170</v>
      </c>
    </row>
    <row r="102" spans="1:27" ht="375" x14ac:dyDescent="0.25">
      <c r="A102" s="104">
        <v>21</v>
      </c>
      <c r="B102" s="67" t="s">
        <v>891</v>
      </c>
      <c r="C102" s="108">
        <v>42865</v>
      </c>
      <c r="D102" s="67" t="s">
        <v>892</v>
      </c>
      <c r="E102" s="67" t="s">
        <v>893</v>
      </c>
      <c r="F102" s="67" t="s">
        <v>894</v>
      </c>
      <c r="G102" s="67" t="s">
        <v>895</v>
      </c>
      <c r="H102" s="67" t="s">
        <v>5</v>
      </c>
      <c r="I102" s="67" t="s">
        <v>53</v>
      </c>
      <c r="J102" s="67" t="s">
        <v>139</v>
      </c>
      <c r="K102" s="67" t="s">
        <v>896</v>
      </c>
      <c r="L102" s="67" t="s">
        <v>71</v>
      </c>
      <c r="M102" s="67" t="s">
        <v>111</v>
      </c>
      <c r="N102" s="67" t="s">
        <v>141</v>
      </c>
      <c r="O102" s="67" t="s">
        <v>248</v>
      </c>
      <c r="P102" s="67" t="s">
        <v>897</v>
      </c>
      <c r="Q102" s="67" t="s">
        <v>898</v>
      </c>
      <c r="R102" s="67" t="s">
        <v>157</v>
      </c>
      <c r="S102" s="67" t="s">
        <v>157</v>
      </c>
      <c r="T102" s="67" t="s">
        <v>158</v>
      </c>
      <c r="U102" s="67"/>
      <c r="V102" s="67" t="s">
        <v>145</v>
      </c>
      <c r="W102" s="67" t="s">
        <v>158</v>
      </c>
      <c r="X102" s="67" t="s">
        <v>157</v>
      </c>
      <c r="Y102" s="67" t="s">
        <v>170</v>
      </c>
    </row>
    <row r="103" spans="1:27" ht="255" x14ac:dyDescent="0.25">
      <c r="A103" s="104">
        <v>23</v>
      </c>
      <c r="B103" s="67" t="s">
        <v>899</v>
      </c>
      <c r="C103" s="108">
        <v>42897</v>
      </c>
      <c r="D103" s="67" t="s">
        <v>900</v>
      </c>
      <c r="E103" s="67" t="s">
        <v>901</v>
      </c>
      <c r="F103" s="67" t="s">
        <v>902</v>
      </c>
      <c r="G103" s="67" t="s">
        <v>903</v>
      </c>
      <c r="H103" s="67" t="s">
        <v>5</v>
      </c>
      <c r="I103" s="67" t="s">
        <v>53</v>
      </c>
      <c r="J103" s="67" t="s">
        <v>139</v>
      </c>
      <c r="K103" s="67" t="s">
        <v>880</v>
      </c>
      <c r="L103" s="67" t="s">
        <v>71</v>
      </c>
      <c r="M103" s="67" t="s">
        <v>111</v>
      </c>
      <c r="N103" s="67" t="s">
        <v>141</v>
      </c>
      <c r="O103" s="67" t="s">
        <v>248</v>
      </c>
      <c r="P103" s="67" t="s">
        <v>904</v>
      </c>
      <c r="Q103" s="67" t="s">
        <v>905</v>
      </c>
      <c r="R103" s="67" t="s">
        <v>145</v>
      </c>
      <c r="S103" s="67" t="s">
        <v>157</v>
      </c>
      <c r="T103" s="67" t="s">
        <v>158</v>
      </c>
      <c r="U103" s="67"/>
      <c r="V103" s="67" t="s">
        <v>170</v>
      </c>
      <c r="W103" s="67" t="s">
        <v>58</v>
      </c>
      <c r="X103" s="67" t="s">
        <v>157</v>
      </c>
      <c r="Y103" s="67" t="s">
        <v>170</v>
      </c>
    </row>
    <row r="104" spans="1:27" ht="409.5" x14ac:dyDescent="0.25">
      <c r="A104" s="104">
        <v>25</v>
      </c>
      <c r="B104" s="67" t="s">
        <v>906</v>
      </c>
      <c r="C104" s="108">
        <v>42911</v>
      </c>
      <c r="D104" s="121" t="s">
        <v>907</v>
      </c>
      <c r="E104" s="67" t="s">
        <v>908</v>
      </c>
      <c r="F104" s="67" t="s">
        <v>909</v>
      </c>
      <c r="G104" s="67" t="s">
        <v>910</v>
      </c>
      <c r="H104" s="67" t="s">
        <v>17</v>
      </c>
      <c r="I104" s="67" t="s">
        <v>807</v>
      </c>
      <c r="J104" s="67" t="s">
        <v>139</v>
      </c>
      <c r="K104" s="67" t="s">
        <v>911</v>
      </c>
      <c r="L104" s="67" t="s">
        <v>71</v>
      </c>
      <c r="M104" s="67" t="s">
        <v>111</v>
      </c>
      <c r="N104" s="67" t="s">
        <v>523</v>
      </c>
      <c r="O104" s="67" t="s">
        <v>142</v>
      </c>
      <c r="P104" s="67" t="s">
        <v>912</v>
      </c>
      <c r="Q104" s="67" t="s">
        <v>913</v>
      </c>
      <c r="R104" s="67" t="s">
        <v>157</v>
      </c>
      <c r="S104" s="67" t="s">
        <v>157</v>
      </c>
      <c r="T104" s="67" t="s">
        <v>170</v>
      </c>
      <c r="U104" s="67" t="s">
        <v>157</v>
      </c>
      <c r="V104" s="67" t="s">
        <v>157</v>
      </c>
      <c r="W104" s="67" t="s">
        <v>91</v>
      </c>
      <c r="X104" s="67" t="s">
        <v>157</v>
      </c>
      <c r="Y104" s="67" t="s">
        <v>170</v>
      </c>
      <c r="Z104" s="120" t="s">
        <v>914</v>
      </c>
      <c r="AA104" s="107" t="s">
        <v>915</v>
      </c>
    </row>
    <row r="105" spans="1:27" ht="330" x14ac:dyDescent="0.25">
      <c r="A105" s="104">
        <v>28</v>
      </c>
      <c r="B105" s="67" t="s">
        <v>916</v>
      </c>
      <c r="C105" s="108">
        <v>42927</v>
      </c>
      <c r="D105" s="67" t="s">
        <v>917</v>
      </c>
      <c r="E105" s="67" t="s">
        <v>918</v>
      </c>
      <c r="F105" s="67" t="s">
        <v>919</v>
      </c>
      <c r="G105" s="67" t="s">
        <v>920</v>
      </c>
      <c r="H105" s="67" t="s">
        <v>13</v>
      </c>
      <c r="I105" s="67" t="s">
        <v>50</v>
      </c>
      <c r="J105" s="67" t="s">
        <v>139</v>
      </c>
      <c r="K105" s="67" t="s">
        <v>544</v>
      </c>
      <c r="L105" s="67" t="s">
        <v>71</v>
      </c>
      <c r="M105" s="67" t="s">
        <v>111</v>
      </c>
      <c r="N105" s="67" t="s">
        <v>141</v>
      </c>
      <c r="O105" s="67" t="s">
        <v>248</v>
      </c>
      <c r="P105" s="67" t="s">
        <v>921</v>
      </c>
      <c r="Q105" s="67" t="s">
        <v>922</v>
      </c>
      <c r="R105" s="67" t="s">
        <v>157</v>
      </c>
      <c r="S105" s="67" t="s">
        <v>145</v>
      </c>
      <c r="T105" s="67" t="s">
        <v>158</v>
      </c>
      <c r="U105" s="67"/>
      <c r="V105" s="67" t="s">
        <v>145</v>
      </c>
      <c r="W105" s="67" t="s">
        <v>145</v>
      </c>
      <c r="X105" s="67" t="s">
        <v>157</v>
      </c>
      <c r="Y105" s="67" t="s">
        <v>923</v>
      </c>
    </row>
    <row r="106" spans="1:27" ht="409.5" x14ac:dyDescent="0.25">
      <c r="A106" s="104">
        <v>30</v>
      </c>
      <c r="B106" s="67" t="s">
        <v>924</v>
      </c>
      <c r="C106" s="108">
        <v>42963</v>
      </c>
      <c r="D106" s="121" t="s">
        <v>925</v>
      </c>
      <c r="E106" s="67" t="s">
        <v>926</v>
      </c>
      <c r="F106" s="67" t="s">
        <v>927</v>
      </c>
      <c r="G106" s="67" t="s">
        <v>928</v>
      </c>
      <c r="H106" s="67" t="s">
        <v>8</v>
      </c>
      <c r="I106" s="67" t="s">
        <v>53</v>
      </c>
      <c r="J106" s="67" t="s">
        <v>139</v>
      </c>
      <c r="K106" s="67" t="s">
        <v>140</v>
      </c>
      <c r="L106" s="67" t="s">
        <v>71</v>
      </c>
      <c r="M106" s="67" t="s">
        <v>111</v>
      </c>
      <c r="N106" s="67" t="s">
        <v>141</v>
      </c>
      <c r="O106" s="67" t="s">
        <v>142</v>
      </c>
      <c r="P106" s="67" t="s">
        <v>929</v>
      </c>
      <c r="Q106" s="67" t="s">
        <v>930</v>
      </c>
      <c r="R106" s="67" t="s">
        <v>157</v>
      </c>
      <c r="S106" s="67" t="s">
        <v>145</v>
      </c>
      <c r="T106" s="67" t="s">
        <v>157</v>
      </c>
      <c r="U106" s="67" t="s">
        <v>157</v>
      </c>
      <c r="V106" s="67" t="s">
        <v>310</v>
      </c>
      <c r="W106" s="67" t="s">
        <v>61</v>
      </c>
      <c r="X106" s="67" t="s">
        <v>157</v>
      </c>
      <c r="Y106" s="67" t="s">
        <v>931</v>
      </c>
      <c r="Z106" s="107" t="s">
        <v>932</v>
      </c>
      <c r="AA106" s="67" t="s">
        <v>933</v>
      </c>
    </row>
    <row r="107" spans="1:27" ht="255" x14ac:dyDescent="0.25">
      <c r="A107" s="104">
        <v>31</v>
      </c>
      <c r="B107" s="67" t="s">
        <v>934</v>
      </c>
      <c r="C107" s="108">
        <v>42967</v>
      </c>
      <c r="D107" s="67" t="s">
        <v>935</v>
      </c>
      <c r="E107" s="67" t="s">
        <v>936</v>
      </c>
      <c r="F107" s="67" t="s">
        <v>937</v>
      </c>
      <c r="G107" s="67" t="s">
        <v>938</v>
      </c>
      <c r="H107" s="67" t="s">
        <v>5</v>
      </c>
      <c r="I107" s="67" t="s">
        <v>53</v>
      </c>
      <c r="J107" s="67" t="s">
        <v>139</v>
      </c>
      <c r="K107" s="67" t="s">
        <v>939</v>
      </c>
      <c r="L107" s="67" t="s">
        <v>72</v>
      </c>
      <c r="M107" s="67" t="s">
        <v>111</v>
      </c>
      <c r="N107" s="67" t="s">
        <v>141</v>
      </c>
      <c r="O107" s="67" t="s">
        <v>142</v>
      </c>
      <c r="P107" s="67" t="s">
        <v>940</v>
      </c>
      <c r="Q107" s="67" t="s">
        <v>941</v>
      </c>
      <c r="R107" s="67" t="s">
        <v>158</v>
      </c>
      <c r="S107" s="67" t="s">
        <v>158</v>
      </c>
      <c r="T107" s="67" t="s">
        <v>158</v>
      </c>
      <c r="U107" s="67"/>
      <c r="V107" s="67" t="s">
        <v>158</v>
      </c>
      <c r="W107" s="67" t="s">
        <v>158</v>
      </c>
      <c r="X107" s="67" t="s">
        <v>158</v>
      </c>
      <c r="Y107" s="67" t="s">
        <v>158</v>
      </c>
    </row>
    <row r="108" spans="1:27" ht="255" x14ac:dyDescent="0.25">
      <c r="A108" s="104">
        <v>32</v>
      </c>
      <c r="B108" s="67" t="s">
        <v>942</v>
      </c>
      <c r="C108" s="108">
        <v>42967</v>
      </c>
      <c r="D108" s="67" t="s">
        <v>943</v>
      </c>
      <c r="E108" s="67" t="s">
        <v>944</v>
      </c>
      <c r="F108" s="67" t="s">
        <v>170</v>
      </c>
      <c r="G108" s="67" t="s">
        <v>945</v>
      </c>
      <c r="H108" s="67" t="s">
        <v>5</v>
      </c>
      <c r="I108" s="67" t="s">
        <v>53</v>
      </c>
      <c r="J108" s="67" t="s">
        <v>139</v>
      </c>
      <c r="K108" s="67" t="s">
        <v>946</v>
      </c>
      <c r="L108" s="67" t="s">
        <v>71</v>
      </c>
      <c r="M108" s="67" t="s">
        <v>111</v>
      </c>
      <c r="N108" s="67" t="s">
        <v>306</v>
      </c>
      <c r="O108" s="67" t="s">
        <v>142</v>
      </c>
      <c r="P108" s="67" t="s">
        <v>947</v>
      </c>
      <c r="Q108" s="67" t="s">
        <v>948</v>
      </c>
      <c r="R108" s="67" t="s">
        <v>157</v>
      </c>
      <c r="S108" s="67" t="s">
        <v>157</v>
      </c>
      <c r="T108" s="67" t="s">
        <v>170</v>
      </c>
      <c r="U108" s="67"/>
      <c r="V108" s="67"/>
      <c r="W108" s="67" t="s">
        <v>949</v>
      </c>
      <c r="X108" s="67" t="s">
        <v>157</v>
      </c>
      <c r="Y108" s="67" t="s">
        <v>170</v>
      </c>
    </row>
    <row r="109" spans="1:27" ht="285" x14ac:dyDescent="0.25">
      <c r="A109" s="104">
        <v>33</v>
      </c>
      <c r="B109" s="67" t="s">
        <v>950</v>
      </c>
      <c r="C109" s="108">
        <v>42970</v>
      </c>
      <c r="D109" s="121" t="s">
        <v>951</v>
      </c>
      <c r="E109" s="67" t="s">
        <v>952</v>
      </c>
      <c r="F109" s="67" t="s">
        <v>367</v>
      </c>
      <c r="G109" s="67" t="s">
        <v>928</v>
      </c>
      <c r="H109" s="67" t="s">
        <v>8</v>
      </c>
      <c r="I109" s="67" t="s">
        <v>52</v>
      </c>
      <c r="J109" s="67" t="s">
        <v>139</v>
      </c>
      <c r="K109" s="67" t="s">
        <v>140</v>
      </c>
      <c r="L109" s="67" t="s">
        <v>71</v>
      </c>
      <c r="M109" s="67" t="s">
        <v>111</v>
      </c>
      <c r="N109" s="67" t="s">
        <v>141</v>
      </c>
      <c r="O109" s="67" t="s">
        <v>142</v>
      </c>
      <c r="P109" s="67" t="s">
        <v>953</v>
      </c>
      <c r="Q109" s="67" t="s">
        <v>954</v>
      </c>
      <c r="R109" s="67" t="s">
        <v>157</v>
      </c>
      <c r="S109" s="67" t="s">
        <v>145</v>
      </c>
      <c r="T109" s="67" t="s">
        <v>157</v>
      </c>
      <c r="U109" s="67" t="s">
        <v>157</v>
      </c>
      <c r="V109" s="67" t="s">
        <v>310</v>
      </c>
      <c r="W109" s="67" t="s">
        <v>61</v>
      </c>
      <c r="X109" s="67" t="s">
        <v>157</v>
      </c>
      <c r="Y109" s="67" t="s">
        <v>955</v>
      </c>
      <c r="Z109" s="107" t="s">
        <v>956</v>
      </c>
      <c r="AA109" s="67" t="s">
        <v>957</v>
      </c>
    </row>
    <row r="110" spans="1:27" ht="345" x14ac:dyDescent="0.25">
      <c r="A110" s="104">
        <v>36</v>
      </c>
      <c r="B110" s="67" t="s">
        <v>958</v>
      </c>
      <c r="C110" s="108">
        <v>43002</v>
      </c>
      <c r="D110" s="67" t="s">
        <v>959</v>
      </c>
      <c r="E110" s="67" t="s">
        <v>960</v>
      </c>
      <c r="F110" s="67" t="s">
        <v>170</v>
      </c>
      <c r="G110" s="67" t="s">
        <v>961</v>
      </c>
      <c r="H110" s="67" t="s">
        <v>5</v>
      </c>
      <c r="I110" s="67" t="s">
        <v>53</v>
      </c>
      <c r="J110" s="67" t="s">
        <v>139</v>
      </c>
      <c r="K110" s="67" t="s">
        <v>949</v>
      </c>
      <c r="L110" s="67" t="s">
        <v>71</v>
      </c>
      <c r="M110" s="67" t="s">
        <v>111</v>
      </c>
      <c r="N110" s="67" t="s">
        <v>306</v>
      </c>
      <c r="O110" s="67" t="s">
        <v>142</v>
      </c>
      <c r="P110" s="67" t="s">
        <v>962</v>
      </c>
      <c r="Q110" s="67" t="s">
        <v>963</v>
      </c>
      <c r="R110" s="67" t="s">
        <v>157</v>
      </c>
      <c r="S110" s="67" t="s">
        <v>145</v>
      </c>
      <c r="T110" s="67" t="s">
        <v>170</v>
      </c>
      <c r="U110" s="67"/>
      <c r="V110" s="67" t="s">
        <v>170</v>
      </c>
      <c r="W110" s="67" t="s">
        <v>170</v>
      </c>
      <c r="X110" s="67" t="s">
        <v>157</v>
      </c>
      <c r="Y110" s="67" t="s">
        <v>170</v>
      </c>
    </row>
    <row r="111" spans="1:27" ht="409.5" x14ac:dyDescent="0.25">
      <c r="A111" s="104">
        <v>37</v>
      </c>
      <c r="B111" s="67" t="s">
        <v>964</v>
      </c>
      <c r="C111" s="108">
        <v>43009</v>
      </c>
      <c r="D111" s="121" t="s">
        <v>965</v>
      </c>
      <c r="E111" s="67" t="s">
        <v>966</v>
      </c>
      <c r="F111" s="67" t="s">
        <v>967</v>
      </c>
      <c r="G111" s="67" t="s">
        <v>674</v>
      </c>
      <c r="H111" s="67" t="s">
        <v>7</v>
      </c>
      <c r="I111" s="67" t="s">
        <v>52</v>
      </c>
      <c r="J111" s="67" t="s">
        <v>139</v>
      </c>
      <c r="K111" s="67" t="s">
        <v>544</v>
      </c>
      <c r="L111" s="67" t="s">
        <v>71</v>
      </c>
      <c r="M111" s="67" t="s">
        <v>111</v>
      </c>
      <c r="N111" s="67" t="s">
        <v>141</v>
      </c>
      <c r="O111" s="67" t="s">
        <v>248</v>
      </c>
      <c r="P111" s="67" t="s">
        <v>968</v>
      </c>
      <c r="Q111" s="67" t="s">
        <v>969</v>
      </c>
      <c r="R111" s="67" t="s">
        <v>157</v>
      </c>
      <c r="S111" s="67" t="s">
        <v>157</v>
      </c>
      <c r="T111" s="67" t="s">
        <v>157</v>
      </c>
      <c r="U111" s="67" t="s">
        <v>157</v>
      </c>
      <c r="V111" s="67" t="s">
        <v>310</v>
      </c>
      <c r="W111" s="67" t="s">
        <v>61</v>
      </c>
      <c r="X111" s="67" t="s">
        <v>157</v>
      </c>
      <c r="Y111" s="67" t="s">
        <v>970</v>
      </c>
      <c r="Z111" s="120" t="s">
        <v>971</v>
      </c>
      <c r="AA111" s="67" t="s">
        <v>972</v>
      </c>
    </row>
    <row r="112" spans="1:27" ht="409.5" x14ac:dyDescent="0.25">
      <c r="A112" s="104">
        <v>38</v>
      </c>
      <c r="B112" s="67" t="s">
        <v>973</v>
      </c>
      <c r="C112" s="108">
        <v>43030</v>
      </c>
      <c r="D112" s="121" t="s">
        <v>974</v>
      </c>
      <c r="E112" s="67" t="s">
        <v>851</v>
      </c>
      <c r="F112" s="67" t="s">
        <v>975</v>
      </c>
      <c r="G112" s="67" t="s">
        <v>853</v>
      </c>
      <c r="H112" s="67" t="s">
        <v>15</v>
      </c>
      <c r="I112" s="67" t="s">
        <v>50</v>
      </c>
      <c r="J112" s="67" t="s">
        <v>139</v>
      </c>
      <c r="K112" s="67" t="s">
        <v>319</v>
      </c>
      <c r="L112" s="67" t="s">
        <v>71</v>
      </c>
      <c r="M112" s="67" t="s">
        <v>111</v>
      </c>
      <c r="N112" s="67" t="s">
        <v>141</v>
      </c>
      <c r="O112" s="67" t="s">
        <v>248</v>
      </c>
      <c r="P112" s="67" t="s">
        <v>976</v>
      </c>
      <c r="Q112" s="67" t="s">
        <v>977</v>
      </c>
      <c r="R112" s="67" t="s">
        <v>145</v>
      </c>
      <c r="S112" s="67" t="s">
        <v>157</v>
      </c>
      <c r="T112" s="67" t="s">
        <v>310</v>
      </c>
      <c r="U112" s="67" t="s">
        <v>157</v>
      </c>
      <c r="V112" s="67" t="s">
        <v>310</v>
      </c>
      <c r="W112" s="67" t="s">
        <v>61</v>
      </c>
      <c r="X112" s="67" t="s">
        <v>157</v>
      </c>
      <c r="Y112" s="67" t="s">
        <v>978</v>
      </c>
      <c r="Z112" s="107" t="s">
        <v>979</v>
      </c>
      <c r="AA112" s="67" t="s">
        <v>980</v>
      </c>
    </row>
    <row r="113" spans="1:27" ht="240" x14ac:dyDescent="0.25">
      <c r="A113" s="104">
        <v>39</v>
      </c>
      <c r="B113" s="67" t="s">
        <v>981</v>
      </c>
      <c r="C113" s="108">
        <v>43068</v>
      </c>
      <c r="D113" s="67" t="s">
        <v>982</v>
      </c>
      <c r="E113" s="67" t="s">
        <v>983</v>
      </c>
      <c r="F113" s="67" t="s">
        <v>984</v>
      </c>
      <c r="G113" s="67" t="s">
        <v>985</v>
      </c>
      <c r="H113" s="67" t="s">
        <v>54</v>
      </c>
      <c r="I113" s="67" t="s">
        <v>54</v>
      </c>
      <c r="J113" s="67" t="s">
        <v>986</v>
      </c>
      <c r="K113" s="67" t="s">
        <v>818</v>
      </c>
      <c r="L113" s="67" t="s">
        <v>71</v>
      </c>
      <c r="M113" s="67" t="s">
        <v>111</v>
      </c>
      <c r="N113" s="67" t="s">
        <v>141</v>
      </c>
      <c r="O113" s="67" t="s">
        <v>142</v>
      </c>
      <c r="P113" s="67" t="s">
        <v>987</v>
      </c>
      <c r="Q113" s="67" t="s">
        <v>988</v>
      </c>
      <c r="R113" s="67" t="s">
        <v>145</v>
      </c>
      <c r="S113" s="67" t="s">
        <v>145</v>
      </c>
      <c r="T113" s="67" t="s">
        <v>145</v>
      </c>
      <c r="U113" s="67"/>
      <c r="V113" s="67" t="s">
        <v>145</v>
      </c>
      <c r="W113" s="67" t="s">
        <v>145</v>
      </c>
      <c r="X113" s="67" t="s">
        <v>157</v>
      </c>
      <c r="Y113" s="67" t="s">
        <v>170</v>
      </c>
    </row>
    <row r="114" spans="1:27" ht="360" x14ac:dyDescent="0.25">
      <c r="A114" s="104">
        <v>41</v>
      </c>
      <c r="B114" s="67" t="s">
        <v>989</v>
      </c>
      <c r="C114" s="108">
        <v>43075</v>
      </c>
      <c r="D114" s="121" t="s">
        <v>990</v>
      </c>
      <c r="E114" s="67" t="s">
        <v>991</v>
      </c>
      <c r="F114" s="67" t="s">
        <v>818</v>
      </c>
      <c r="G114" s="67" t="s">
        <v>992</v>
      </c>
      <c r="H114" s="67" t="s">
        <v>54</v>
      </c>
      <c r="I114" s="67" t="s">
        <v>54</v>
      </c>
      <c r="J114" s="67" t="s">
        <v>986</v>
      </c>
      <c r="K114" s="67" t="s">
        <v>993</v>
      </c>
      <c r="L114" s="67" t="s">
        <v>71</v>
      </c>
      <c r="M114" s="67" t="s">
        <v>111</v>
      </c>
      <c r="N114" s="67" t="s">
        <v>141</v>
      </c>
      <c r="O114" s="67" t="s">
        <v>142</v>
      </c>
      <c r="P114" s="67" t="s">
        <v>994</v>
      </c>
      <c r="Q114" s="67" t="s">
        <v>995</v>
      </c>
      <c r="R114" s="67" t="s">
        <v>158</v>
      </c>
      <c r="S114" s="67" t="s">
        <v>145</v>
      </c>
      <c r="T114" s="67" t="s">
        <v>145</v>
      </c>
      <c r="U114" s="67" t="s">
        <v>157</v>
      </c>
      <c r="V114" s="67" t="s">
        <v>157</v>
      </c>
      <c r="W114" s="67" t="s">
        <v>57</v>
      </c>
      <c r="X114" s="67" t="s">
        <v>157</v>
      </c>
      <c r="Y114" s="67" t="s">
        <v>170</v>
      </c>
      <c r="Z114" s="120" t="s">
        <v>996</v>
      </c>
      <c r="AA114" t="s">
        <v>997</v>
      </c>
    </row>
    <row r="115" spans="1:27" ht="315" x14ac:dyDescent="0.25">
      <c r="A115" s="104">
        <v>42</v>
      </c>
      <c r="B115" s="67" t="s">
        <v>998</v>
      </c>
      <c r="C115" s="108">
        <v>43082</v>
      </c>
      <c r="D115" s="67" t="s">
        <v>990</v>
      </c>
      <c r="E115" s="67" t="s">
        <v>999</v>
      </c>
      <c r="F115" s="67" t="s">
        <v>367</v>
      </c>
      <c r="G115" s="67" t="s">
        <v>928</v>
      </c>
      <c r="H115" s="67" t="s">
        <v>8</v>
      </c>
      <c r="I115" s="67" t="s">
        <v>52</v>
      </c>
      <c r="J115" s="67" t="s">
        <v>139</v>
      </c>
      <c r="K115" s="67" t="s">
        <v>993</v>
      </c>
      <c r="L115" s="67" t="s">
        <v>71</v>
      </c>
      <c r="M115" s="67" t="s">
        <v>111</v>
      </c>
      <c r="N115" s="67" t="s">
        <v>141</v>
      </c>
      <c r="O115" s="67" t="s">
        <v>142</v>
      </c>
      <c r="P115" s="67" t="s">
        <v>1000</v>
      </c>
      <c r="Q115" s="67" t="s">
        <v>1001</v>
      </c>
      <c r="R115" s="67" t="s">
        <v>158</v>
      </c>
      <c r="S115" s="67" t="s">
        <v>145</v>
      </c>
      <c r="T115" s="67" t="s">
        <v>145</v>
      </c>
      <c r="U115" s="67"/>
      <c r="V115" s="67" t="s">
        <v>145</v>
      </c>
      <c r="W115" s="67" t="s">
        <v>57</v>
      </c>
      <c r="X115" s="67" t="s">
        <v>157</v>
      </c>
      <c r="Y115" s="67" t="s">
        <v>170</v>
      </c>
    </row>
    <row r="116" spans="1:27" ht="360" x14ac:dyDescent="0.25">
      <c r="A116">
        <v>1</v>
      </c>
      <c r="B116" s="67" t="s">
        <v>1002</v>
      </c>
      <c r="C116" s="106">
        <v>42375</v>
      </c>
      <c r="D116" s="105" t="s">
        <v>1003</v>
      </c>
      <c r="E116" s="105" t="s">
        <v>3</v>
      </c>
      <c r="F116" s="105" t="s">
        <v>3</v>
      </c>
      <c r="G116" s="105" t="s">
        <v>3</v>
      </c>
      <c r="H116" s="105" t="s">
        <v>3</v>
      </c>
      <c r="I116" s="105" t="s">
        <v>3</v>
      </c>
      <c r="J116" s="105" t="s">
        <v>3</v>
      </c>
      <c r="K116" s="105" t="s">
        <v>3</v>
      </c>
      <c r="L116" s="105" t="s">
        <v>3</v>
      </c>
      <c r="M116" s="105" t="s">
        <v>3</v>
      </c>
      <c r="N116" s="105" t="s">
        <v>3</v>
      </c>
      <c r="O116" s="105" t="s">
        <v>3</v>
      </c>
      <c r="P116" s="67" t="s">
        <v>1004</v>
      </c>
      <c r="Q116" s="67" t="s">
        <v>1005</v>
      </c>
      <c r="R116" s="67" t="s">
        <v>170</v>
      </c>
      <c r="S116" s="67" t="s">
        <v>170</v>
      </c>
      <c r="T116" s="67" t="s">
        <v>170</v>
      </c>
      <c r="U116" s="67"/>
      <c r="V116" s="67" t="s">
        <v>170</v>
      </c>
      <c r="W116" s="67" t="s">
        <v>170</v>
      </c>
      <c r="X116" s="67" t="s">
        <v>170</v>
      </c>
      <c r="Y116" s="67" t="s">
        <v>170</v>
      </c>
    </row>
    <row r="117" spans="1:27" ht="165" x14ac:dyDescent="0.25">
      <c r="A117">
        <v>2</v>
      </c>
      <c r="B117" s="67" t="s">
        <v>1006</v>
      </c>
      <c r="C117" s="108">
        <v>43114</v>
      </c>
      <c r="D117" s="67" t="s">
        <v>1007</v>
      </c>
      <c r="E117" s="67" t="s">
        <v>422</v>
      </c>
      <c r="F117" s="67" t="s">
        <v>1008</v>
      </c>
      <c r="G117" s="67" t="s">
        <v>1008</v>
      </c>
      <c r="H117" s="67" t="s">
        <v>13</v>
      </c>
      <c r="I117" s="67" t="s">
        <v>50</v>
      </c>
      <c r="J117" s="67" t="s">
        <v>139</v>
      </c>
      <c r="K117" s="67" t="s">
        <v>1009</v>
      </c>
      <c r="L117" s="67" t="s">
        <v>71</v>
      </c>
      <c r="M117" s="67" t="s">
        <v>111</v>
      </c>
      <c r="N117" s="67" t="s">
        <v>306</v>
      </c>
      <c r="O117" s="67" t="s">
        <v>142</v>
      </c>
      <c r="P117" s="67" t="s">
        <v>1010</v>
      </c>
      <c r="Q117" s="67" t="s">
        <v>1011</v>
      </c>
      <c r="R117" s="67" t="s">
        <v>170</v>
      </c>
      <c r="S117" s="67" t="s">
        <v>170</v>
      </c>
      <c r="T117" s="67" t="s">
        <v>170</v>
      </c>
      <c r="U117" s="67"/>
      <c r="V117" s="67" t="s">
        <v>170</v>
      </c>
      <c r="W117" s="67" t="s">
        <v>170</v>
      </c>
      <c r="X117" s="67" t="s">
        <v>157</v>
      </c>
      <c r="Y117" s="67" t="s">
        <v>1012</v>
      </c>
    </row>
    <row r="118" spans="1:27" ht="225" x14ac:dyDescent="0.25">
      <c r="A118">
        <v>3</v>
      </c>
      <c r="B118" s="118" t="s">
        <v>1013</v>
      </c>
      <c r="C118" s="108">
        <v>43124</v>
      </c>
      <c r="D118" s="67" t="s">
        <v>1014</v>
      </c>
      <c r="E118" s="67" t="s">
        <v>1015</v>
      </c>
      <c r="F118" s="67" t="s">
        <v>1016</v>
      </c>
      <c r="G118" s="67" t="s">
        <v>928</v>
      </c>
      <c r="H118" s="67" t="s">
        <v>8</v>
      </c>
      <c r="I118" s="67" t="s">
        <v>52</v>
      </c>
      <c r="J118" s="67" t="s">
        <v>139</v>
      </c>
      <c r="K118" s="67" t="s">
        <v>1017</v>
      </c>
      <c r="L118" s="67" t="s">
        <v>71</v>
      </c>
      <c r="M118" s="67" t="s">
        <v>111</v>
      </c>
      <c r="N118" s="67" t="s">
        <v>141</v>
      </c>
      <c r="O118" s="67" t="s">
        <v>142</v>
      </c>
      <c r="P118" s="67" t="s">
        <v>1018</v>
      </c>
      <c r="Q118" s="67" t="s">
        <v>1019</v>
      </c>
      <c r="R118" s="67" t="s">
        <v>145</v>
      </c>
      <c r="S118" s="67" t="s">
        <v>145</v>
      </c>
      <c r="T118" s="67" t="s">
        <v>145</v>
      </c>
      <c r="U118" s="67"/>
      <c r="V118" s="67" t="s">
        <v>145</v>
      </c>
      <c r="W118" s="67" t="s">
        <v>145</v>
      </c>
      <c r="X118" s="67" t="s">
        <v>145</v>
      </c>
      <c r="Y118" s="67" t="s">
        <v>145</v>
      </c>
    </row>
    <row r="119" spans="1:27" ht="375" x14ac:dyDescent="0.25">
      <c r="A119">
        <v>4</v>
      </c>
      <c r="B119" s="67" t="s">
        <v>1020</v>
      </c>
      <c r="C119" s="108">
        <v>43127</v>
      </c>
      <c r="D119" s="67" t="s">
        <v>1021</v>
      </c>
      <c r="E119" s="67" t="s">
        <v>1022</v>
      </c>
      <c r="F119" s="67" t="s">
        <v>1023</v>
      </c>
      <c r="G119" s="67" t="s">
        <v>1024</v>
      </c>
      <c r="H119" s="67" t="s">
        <v>14</v>
      </c>
      <c r="I119" s="67" t="s">
        <v>51</v>
      </c>
      <c r="J119" s="67" t="s">
        <v>139</v>
      </c>
      <c r="K119" s="67" t="s">
        <v>888</v>
      </c>
      <c r="L119" s="67" t="s">
        <v>71</v>
      </c>
      <c r="M119" s="67" t="s">
        <v>111</v>
      </c>
      <c r="N119" s="67" t="s">
        <v>141</v>
      </c>
      <c r="O119" s="67" t="s">
        <v>142</v>
      </c>
      <c r="P119" s="67" t="s">
        <v>1025</v>
      </c>
      <c r="Q119" s="67" t="s">
        <v>1026</v>
      </c>
      <c r="R119" s="67" t="s">
        <v>145</v>
      </c>
      <c r="S119" s="67" t="s">
        <v>157</v>
      </c>
      <c r="T119" s="67" t="s">
        <v>145</v>
      </c>
      <c r="U119" s="67" t="s">
        <v>157</v>
      </c>
      <c r="V119" s="67" t="s">
        <v>157</v>
      </c>
      <c r="W119" s="67" t="s">
        <v>85</v>
      </c>
      <c r="X119" s="67" t="s">
        <v>157</v>
      </c>
      <c r="Y119" s="67" t="s">
        <v>170</v>
      </c>
      <c r="Z119" s="120" t="s">
        <v>1027</v>
      </c>
      <c r="AA119" s="67" t="s">
        <v>1028</v>
      </c>
    </row>
    <row r="120" spans="1:27" ht="270" x14ac:dyDescent="0.25">
      <c r="A120">
        <v>5</v>
      </c>
      <c r="B120" s="67" t="s">
        <v>1029</v>
      </c>
      <c r="C120" s="108">
        <v>43145</v>
      </c>
      <c r="D120" s="67" t="s">
        <v>1030</v>
      </c>
      <c r="E120" s="67" t="s">
        <v>1031</v>
      </c>
      <c r="F120" s="67" t="s">
        <v>1032</v>
      </c>
      <c r="G120" s="67" t="s">
        <v>1033</v>
      </c>
      <c r="H120" s="67" t="s">
        <v>9</v>
      </c>
      <c r="I120" s="67" t="s">
        <v>53</v>
      </c>
      <c r="J120" s="67" t="s">
        <v>139</v>
      </c>
      <c r="K120" s="67" t="s">
        <v>1034</v>
      </c>
      <c r="L120" s="67" t="s">
        <v>71</v>
      </c>
      <c r="M120" s="67" t="s">
        <v>111</v>
      </c>
      <c r="N120" s="67" t="s">
        <v>141</v>
      </c>
      <c r="O120" s="67" t="s">
        <v>142</v>
      </c>
      <c r="P120" s="67" t="s">
        <v>1035</v>
      </c>
      <c r="Q120" s="67" t="s">
        <v>1036</v>
      </c>
      <c r="R120" s="67" t="s">
        <v>157</v>
      </c>
      <c r="S120" s="67" t="s">
        <v>170</v>
      </c>
      <c r="T120" s="67" t="s">
        <v>157</v>
      </c>
      <c r="U120" s="67"/>
      <c r="V120" s="67" t="s">
        <v>145</v>
      </c>
      <c r="W120" s="67" t="s">
        <v>170</v>
      </c>
      <c r="X120" s="67" t="s">
        <v>157</v>
      </c>
      <c r="Y120" s="67" t="s">
        <v>170</v>
      </c>
    </row>
    <row r="121" spans="1:27" ht="165" x14ac:dyDescent="0.25">
      <c r="A121">
        <v>6</v>
      </c>
      <c r="B121" s="67" t="s">
        <v>1037</v>
      </c>
      <c r="C121" s="108">
        <v>43145</v>
      </c>
      <c r="D121" s="67" t="s">
        <v>1038</v>
      </c>
      <c r="E121" s="67" t="s">
        <v>1039</v>
      </c>
      <c r="F121" s="67" t="s">
        <v>1040</v>
      </c>
      <c r="G121" s="67" t="s">
        <v>992</v>
      </c>
      <c r="H121" s="67" t="s">
        <v>54</v>
      </c>
      <c r="I121" s="67" t="s">
        <v>54</v>
      </c>
      <c r="J121" s="67" t="s">
        <v>986</v>
      </c>
      <c r="K121" s="67" t="s">
        <v>1041</v>
      </c>
      <c r="L121" s="67" t="s">
        <v>71</v>
      </c>
      <c r="M121" s="67" t="s">
        <v>111</v>
      </c>
      <c r="N121" s="67" t="s">
        <v>141</v>
      </c>
      <c r="O121" s="67" t="s">
        <v>142</v>
      </c>
      <c r="P121" s="67" t="s">
        <v>1042</v>
      </c>
      <c r="Q121" s="67" t="s">
        <v>1043</v>
      </c>
      <c r="R121" s="67" t="s">
        <v>145</v>
      </c>
      <c r="S121" s="67" t="s">
        <v>145</v>
      </c>
      <c r="T121" s="67" t="s">
        <v>170</v>
      </c>
      <c r="U121" s="67"/>
      <c r="V121" s="67" t="s">
        <v>170</v>
      </c>
      <c r="W121" s="67" t="s">
        <v>170</v>
      </c>
      <c r="X121" s="67" t="s">
        <v>170</v>
      </c>
      <c r="Y121" s="67" t="s">
        <v>170</v>
      </c>
    </row>
    <row r="122" spans="1:27" ht="255" x14ac:dyDescent="0.25">
      <c r="A122">
        <v>7</v>
      </c>
      <c r="B122" s="67" t="s">
        <v>1044</v>
      </c>
      <c r="C122" s="108">
        <v>43146</v>
      </c>
      <c r="D122" s="67" t="s">
        <v>1045</v>
      </c>
      <c r="E122" s="67" t="s">
        <v>3</v>
      </c>
      <c r="F122" s="67" t="s">
        <v>3</v>
      </c>
      <c r="G122" s="67" t="s">
        <v>3</v>
      </c>
      <c r="H122" s="67" t="s">
        <v>3</v>
      </c>
      <c r="I122" s="67" t="s">
        <v>3</v>
      </c>
      <c r="J122" s="67" t="s">
        <v>3</v>
      </c>
      <c r="K122" s="67" t="s">
        <v>3</v>
      </c>
      <c r="L122" s="67" t="s">
        <v>3</v>
      </c>
      <c r="M122" s="67" t="s">
        <v>3</v>
      </c>
      <c r="N122" s="67" t="s">
        <v>3</v>
      </c>
      <c r="O122" s="67" t="s">
        <v>3</v>
      </c>
      <c r="P122" s="67" t="s">
        <v>1046</v>
      </c>
      <c r="Q122" s="67" t="s">
        <v>1047</v>
      </c>
      <c r="R122" s="67" t="s">
        <v>157</v>
      </c>
      <c r="S122" s="67" t="s">
        <v>170</v>
      </c>
      <c r="T122" s="67" t="s">
        <v>170</v>
      </c>
      <c r="U122" s="67"/>
      <c r="V122" s="67" t="s">
        <v>170</v>
      </c>
      <c r="W122" s="67" t="s">
        <v>170</v>
      </c>
      <c r="X122" s="67" t="s">
        <v>157</v>
      </c>
      <c r="Y122" s="67" t="s">
        <v>170</v>
      </c>
    </row>
    <row r="123" spans="1:27" ht="180" x14ac:dyDescent="0.25">
      <c r="A123">
        <v>8</v>
      </c>
      <c r="B123" s="67" t="s">
        <v>1048</v>
      </c>
      <c r="C123" s="108">
        <v>43147</v>
      </c>
      <c r="D123" s="67" t="s">
        <v>1049</v>
      </c>
      <c r="E123" s="67" t="s">
        <v>4</v>
      </c>
      <c r="F123" s="67" t="s">
        <v>4</v>
      </c>
      <c r="G123" s="67" t="s">
        <v>4</v>
      </c>
      <c r="H123" s="67" t="s">
        <v>4</v>
      </c>
      <c r="I123" s="67" t="s">
        <v>4</v>
      </c>
      <c r="J123" s="67" t="s">
        <v>4</v>
      </c>
      <c r="K123" s="67" t="s">
        <v>4</v>
      </c>
      <c r="L123" s="67" t="s">
        <v>4</v>
      </c>
      <c r="M123" s="67" t="s">
        <v>4</v>
      </c>
      <c r="N123" s="67" t="s">
        <v>4</v>
      </c>
      <c r="O123" s="67" t="s">
        <v>4</v>
      </c>
      <c r="P123" s="67" t="s">
        <v>1050</v>
      </c>
      <c r="Q123" s="67" t="s">
        <v>1051</v>
      </c>
      <c r="R123" s="67" t="s">
        <v>170</v>
      </c>
      <c r="S123" s="67" t="s">
        <v>170</v>
      </c>
      <c r="T123" s="67" t="s">
        <v>170</v>
      </c>
      <c r="U123" s="67"/>
      <c r="V123" s="67" t="s">
        <v>170</v>
      </c>
      <c r="W123" s="67" t="s">
        <v>170</v>
      </c>
      <c r="X123" s="67" t="s">
        <v>170</v>
      </c>
      <c r="Y123" s="67" t="s">
        <v>170</v>
      </c>
    </row>
    <row r="124" spans="1:27" ht="150" x14ac:dyDescent="0.25">
      <c r="A124">
        <v>9</v>
      </c>
      <c r="B124" s="67" t="s">
        <v>1052</v>
      </c>
      <c r="C124" s="108">
        <v>43149</v>
      </c>
      <c r="D124" s="67" t="s">
        <v>1053</v>
      </c>
      <c r="E124" s="67" t="s">
        <v>3</v>
      </c>
      <c r="F124" s="67" t="s">
        <v>3</v>
      </c>
      <c r="G124" s="67" t="s">
        <v>3</v>
      </c>
      <c r="H124" s="67" t="s">
        <v>3</v>
      </c>
      <c r="I124" s="67" t="s">
        <v>3</v>
      </c>
      <c r="J124" s="67" t="s">
        <v>3</v>
      </c>
      <c r="K124" s="67" t="s">
        <v>3</v>
      </c>
      <c r="L124" s="67" t="s">
        <v>3</v>
      </c>
      <c r="M124" s="67" t="s">
        <v>3</v>
      </c>
      <c r="N124" s="67" t="s">
        <v>3</v>
      </c>
      <c r="O124" s="67" t="s">
        <v>3</v>
      </c>
      <c r="P124" s="67" t="s">
        <v>1054</v>
      </c>
      <c r="Q124" s="67" t="s">
        <v>1055</v>
      </c>
      <c r="R124" s="67" t="s">
        <v>170</v>
      </c>
      <c r="S124" s="67" t="s">
        <v>170</v>
      </c>
      <c r="T124" s="67" t="s">
        <v>170</v>
      </c>
      <c r="U124" s="67"/>
      <c r="V124" s="67" t="s">
        <v>170</v>
      </c>
      <c r="W124" s="67" t="s">
        <v>170</v>
      </c>
      <c r="X124" s="67" t="s">
        <v>170</v>
      </c>
      <c r="Y124" s="67" t="s">
        <v>170</v>
      </c>
    </row>
    <row r="125" spans="1:27" ht="120" x14ac:dyDescent="0.25">
      <c r="A125">
        <v>10</v>
      </c>
      <c r="B125" s="67" t="s">
        <v>1056</v>
      </c>
      <c r="C125" s="108">
        <v>43152</v>
      </c>
      <c r="D125" s="67" t="s">
        <v>1057</v>
      </c>
      <c r="E125" s="67" t="s">
        <v>1058</v>
      </c>
      <c r="F125" s="67" t="s">
        <v>383</v>
      </c>
      <c r="G125" s="67" t="s">
        <v>642</v>
      </c>
      <c r="H125" s="67" t="s">
        <v>54</v>
      </c>
      <c r="I125" s="67" t="s">
        <v>54</v>
      </c>
      <c r="J125" s="67" t="s">
        <v>643</v>
      </c>
      <c r="K125" s="67" t="s">
        <v>1059</v>
      </c>
      <c r="L125" s="67" t="s">
        <v>71</v>
      </c>
      <c r="M125" s="67" t="s">
        <v>111</v>
      </c>
      <c r="N125" s="67" t="s">
        <v>523</v>
      </c>
      <c r="O125" s="67" t="s">
        <v>142</v>
      </c>
      <c r="P125" s="67" t="s">
        <v>1060</v>
      </c>
      <c r="Q125" s="67" t="s">
        <v>1061</v>
      </c>
      <c r="R125" s="67" t="s">
        <v>145</v>
      </c>
      <c r="S125" s="67" t="s">
        <v>145</v>
      </c>
      <c r="T125" s="67" t="s">
        <v>145</v>
      </c>
      <c r="U125" s="67"/>
      <c r="V125" s="67" t="s">
        <v>145</v>
      </c>
      <c r="W125" s="67" t="s">
        <v>145</v>
      </c>
      <c r="X125" s="67" t="s">
        <v>145</v>
      </c>
      <c r="Y125" s="67" t="s">
        <v>145</v>
      </c>
    </row>
    <row r="126" spans="1:27" ht="270" x14ac:dyDescent="0.25">
      <c r="A126">
        <v>11</v>
      </c>
      <c r="B126" s="67" t="s">
        <v>1062</v>
      </c>
      <c r="C126" s="108">
        <v>43152</v>
      </c>
      <c r="D126" s="67" t="s">
        <v>1063</v>
      </c>
      <c r="E126" s="67" t="s">
        <v>1064</v>
      </c>
      <c r="F126" s="67" t="s">
        <v>1065</v>
      </c>
      <c r="G126" s="67" t="s">
        <v>1066</v>
      </c>
      <c r="H126" s="67" t="s">
        <v>54</v>
      </c>
      <c r="I126" s="67" t="s">
        <v>54</v>
      </c>
      <c r="J126" s="67" t="s">
        <v>1067</v>
      </c>
      <c r="K126" s="67" t="s">
        <v>818</v>
      </c>
      <c r="L126" s="67" t="s">
        <v>71</v>
      </c>
      <c r="M126" s="67" t="s">
        <v>111</v>
      </c>
      <c r="N126" s="67" t="s">
        <v>141</v>
      </c>
      <c r="O126" s="67" t="s">
        <v>142</v>
      </c>
      <c r="P126" s="67" t="s">
        <v>1068</v>
      </c>
      <c r="Q126" s="67" t="s">
        <v>1069</v>
      </c>
      <c r="R126" s="67" t="s">
        <v>145</v>
      </c>
      <c r="S126" s="67" t="s">
        <v>145</v>
      </c>
      <c r="T126" s="67" t="s">
        <v>145</v>
      </c>
      <c r="U126" s="67"/>
      <c r="V126" s="67" t="s">
        <v>145</v>
      </c>
      <c r="W126" s="67" t="s">
        <v>145</v>
      </c>
      <c r="X126" s="67" t="s">
        <v>145</v>
      </c>
      <c r="Y126" s="67" t="s">
        <v>145</v>
      </c>
    </row>
    <row r="127" spans="1:27" ht="409.5" x14ac:dyDescent="0.25">
      <c r="A127">
        <v>12</v>
      </c>
      <c r="B127" s="67" t="s">
        <v>1070</v>
      </c>
      <c r="C127" s="108">
        <v>43162</v>
      </c>
      <c r="D127" s="67" t="s">
        <v>1045</v>
      </c>
      <c r="E127" s="67" t="s">
        <v>952</v>
      </c>
      <c r="F127" s="67" t="s">
        <v>927</v>
      </c>
      <c r="G127" s="67" t="s">
        <v>928</v>
      </c>
      <c r="H127" s="67" t="s">
        <v>8</v>
      </c>
      <c r="I127" s="67" t="s">
        <v>52</v>
      </c>
      <c r="J127" s="67" t="s">
        <v>139</v>
      </c>
      <c r="K127" s="67" t="s">
        <v>1017</v>
      </c>
      <c r="L127" s="67" t="s">
        <v>71</v>
      </c>
      <c r="M127" s="67" t="s">
        <v>111</v>
      </c>
      <c r="N127" s="67" t="s">
        <v>141</v>
      </c>
      <c r="O127" s="67" t="s">
        <v>142</v>
      </c>
      <c r="P127" s="67" t="s">
        <v>1071</v>
      </c>
      <c r="Q127" s="67" t="s">
        <v>1072</v>
      </c>
      <c r="R127" s="67" t="s">
        <v>145</v>
      </c>
      <c r="S127" s="67" t="s">
        <v>145</v>
      </c>
      <c r="T127" s="67" t="s">
        <v>310</v>
      </c>
      <c r="U127" s="67" t="s">
        <v>157</v>
      </c>
      <c r="V127" s="67" t="s">
        <v>310</v>
      </c>
      <c r="W127" s="67" t="s">
        <v>87</v>
      </c>
      <c r="X127" s="67" t="s">
        <v>157</v>
      </c>
      <c r="Y127" s="67" t="s">
        <v>170</v>
      </c>
      <c r="Z127" s="107" t="s">
        <v>1073</v>
      </c>
      <c r="AA127" s="67" t="s">
        <v>1074</v>
      </c>
    </row>
    <row r="128" spans="1:27" ht="195" x14ac:dyDescent="0.25">
      <c r="A128">
        <v>13</v>
      </c>
      <c r="B128" s="67" t="s">
        <v>1075</v>
      </c>
      <c r="C128" s="108">
        <v>43177</v>
      </c>
      <c r="D128" s="67" t="s">
        <v>1076</v>
      </c>
      <c r="E128" s="67" t="s">
        <v>1077</v>
      </c>
      <c r="F128" s="67" t="s">
        <v>1078</v>
      </c>
      <c r="G128" s="67" t="s">
        <v>1079</v>
      </c>
      <c r="H128" s="67" t="s">
        <v>29</v>
      </c>
      <c r="I128" s="67" t="s">
        <v>1080</v>
      </c>
      <c r="J128" s="67" t="s">
        <v>139</v>
      </c>
      <c r="K128" s="67" t="s">
        <v>1081</v>
      </c>
      <c r="L128" s="67" t="s">
        <v>71</v>
      </c>
      <c r="M128" s="67" t="s">
        <v>111</v>
      </c>
      <c r="N128" s="67" t="s">
        <v>141</v>
      </c>
      <c r="O128" s="67" t="s">
        <v>142</v>
      </c>
      <c r="P128" s="67" t="s">
        <v>1082</v>
      </c>
      <c r="Q128" s="67" t="s">
        <v>1083</v>
      </c>
      <c r="R128" s="67" t="s">
        <v>170</v>
      </c>
      <c r="S128" s="67" t="s">
        <v>170</v>
      </c>
      <c r="T128" s="67" t="s">
        <v>170</v>
      </c>
      <c r="U128" s="67"/>
      <c r="V128" s="67" t="s">
        <v>170</v>
      </c>
      <c r="W128" s="67" t="s">
        <v>170</v>
      </c>
      <c r="X128" s="67" t="s">
        <v>170</v>
      </c>
      <c r="Y128" s="67" t="s">
        <v>170</v>
      </c>
      <c r="Z128" s="107" t="s">
        <v>1084</v>
      </c>
    </row>
    <row r="129" spans="1:27" ht="315" x14ac:dyDescent="0.25">
      <c r="A129">
        <v>14</v>
      </c>
      <c r="B129" s="67" t="s">
        <v>1085</v>
      </c>
      <c r="C129" s="108">
        <v>43183</v>
      </c>
      <c r="D129" s="67" t="s">
        <v>1086</v>
      </c>
      <c r="E129" s="67" t="s">
        <v>1087</v>
      </c>
      <c r="F129" s="67" t="s">
        <v>1088</v>
      </c>
      <c r="G129" s="67" t="s">
        <v>1089</v>
      </c>
      <c r="H129" s="67" t="s">
        <v>21</v>
      </c>
      <c r="I129" s="67" t="s">
        <v>51</v>
      </c>
      <c r="J129" s="67" t="s">
        <v>139</v>
      </c>
      <c r="K129" s="67" t="s">
        <v>1090</v>
      </c>
      <c r="L129" s="67" t="s">
        <v>71</v>
      </c>
      <c r="M129" s="67" t="s">
        <v>111</v>
      </c>
      <c r="N129" s="67" t="s">
        <v>306</v>
      </c>
      <c r="O129" s="67" t="s">
        <v>142</v>
      </c>
      <c r="P129" s="67" t="s">
        <v>1091</v>
      </c>
      <c r="Q129" s="67" t="s">
        <v>1092</v>
      </c>
      <c r="R129" s="67" t="s">
        <v>170</v>
      </c>
      <c r="S129" s="67" t="s">
        <v>170</v>
      </c>
      <c r="T129" s="67" t="s">
        <v>170</v>
      </c>
      <c r="U129" s="67"/>
      <c r="V129" s="67" t="s">
        <v>170</v>
      </c>
      <c r="W129" s="67" t="s">
        <v>170</v>
      </c>
      <c r="X129" s="67" t="s">
        <v>170</v>
      </c>
      <c r="Y129" s="67" t="s">
        <v>170</v>
      </c>
    </row>
    <row r="130" spans="1:27" ht="135" x14ac:dyDescent="0.25">
      <c r="A130">
        <v>15</v>
      </c>
      <c r="B130" s="67" t="s">
        <v>1093</v>
      </c>
      <c r="C130" s="108">
        <v>43191</v>
      </c>
      <c r="D130" s="67" t="s">
        <v>1094</v>
      </c>
      <c r="E130" s="67" t="s">
        <v>3</v>
      </c>
      <c r="F130" s="67" t="s">
        <v>3</v>
      </c>
      <c r="G130" s="67" t="s">
        <v>3</v>
      </c>
      <c r="H130" s="67" t="s">
        <v>3</v>
      </c>
      <c r="I130" s="67" t="s">
        <v>3</v>
      </c>
      <c r="J130" s="67" t="s">
        <v>3</v>
      </c>
      <c r="K130" s="67" t="s">
        <v>3</v>
      </c>
      <c r="L130" s="67" t="s">
        <v>3</v>
      </c>
      <c r="M130" s="67" t="s">
        <v>3</v>
      </c>
      <c r="N130" s="67" t="s">
        <v>3</v>
      </c>
      <c r="O130" s="67" t="s">
        <v>3</v>
      </c>
      <c r="P130" s="67" t="s">
        <v>1095</v>
      </c>
      <c r="Q130" s="67" t="s">
        <v>1096</v>
      </c>
      <c r="R130" s="67" t="s">
        <v>170</v>
      </c>
      <c r="S130" s="67" t="s">
        <v>170</v>
      </c>
      <c r="T130" s="67" t="s">
        <v>170</v>
      </c>
      <c r="U130" s="67"/>
      <c r="V130" s="67" t="s">
        <v>170</v>
      </c>
      <c r="W130" s="67" t="s">
        <v>170</v>
      </c>
      <c r="X130" s="67" t="s">
        <v>170</v>
      </c>
      <c r="Y130" s="67" t="s">
        <v>170</v>
      </c>
    </row>
    <row r="131" spans="1:27" ht="180" x14ac:dyDescent="0.25">
      <c r="A131">
        <v>16</v>
      </c>
      <c r="B131" s="67" t="s">
        <v>1097</v>
      </c>
      <c r="C131" s="108">
        <v>43194</v>
      </c>
      <c r="D131" s="67" t="s">
        <v>1098</v>
      </c>
      <c r="E131" s="67" t="s">
        <v>1099</v>
      </c>
      <c r="F131" s="67" t="s">
        <v>1100</v>
      </c>
      <c r="G131" s="67" t="s">
        <v>1101</v>
      </c>
      <c r="H131" s="67" t="s">
        <v>6</v>
      </c>
      <c r="I131" s="67" t="s">
        <v>52</v>
      </c>
      <c r="J131" s="67" t="s">
        <v>139</v>
      </c>
      <c r="K131" s="67" t="s">
        <v>1102</v>
      </c>
      <c r="L131" s="67" t="s">
        <v>71</v>
      </c>
      <c r="M131" s="67" t="s">
        <v>111</v>
      </c>
      <c r="N131" s="67" t="s">
        <v>141</v>
      </c>
      <c r="O131" s="67" t="s">
        <v>142</v>
      </c>
      <c r="P131" s="67" t="s">
        <v>1103</v>
      </c>
      <c r="Q131" s="67" t="s">
        <v>1104</v>
      </c>
      <c r="R131" s="67" t="s">
        <v>170</v>
      </c>
      <c r="S131" s="67" t="s">
        <v>170</v>
      </c>
      <c r="T131" s="67" t="s">
        <v>170</v>
      </c>
      <c r="U131" s="67"/>
      <c r="V131" s="67" t="s">
        <v>170</v>
      </c>
      <c r="W131" s="67" t="s">
        <v>170</v>
      </c>
      <c r="X131" s="67" t="s">
        <v>170</v>
      </c>
      <c r="Y131" s="67" t="s">
        <v>170</v>
      </c>
    </row>
    <row r="132" spans="1:27" ht="360" x14ac:dyDescent="0.25">
      <c r="A132">
        <v>17</v>
      </c>
      <c r="B132" s="67" t="s">
        <v>1105</v>
      </c>
      <c r="C132" s="108">
        <v>43197</v>
      </c>
      <c r="D132" s="67" t="s">
        <v>1106</v>
      </c>
      <c r="E132" s="67" t="s">
        <v>1107</v>
      </c>
      <c r="F132" s="67" t="s">
        <v>1108</v>
      </c>
      <c r="G132" s="67" t="s">
        <v>1109</v>
      </c>
      <c r="H132" s="67" t="s">
        <v>28</v>
      </c>
      <c r="I132" s="67" t="s">
        <v>51</v>
      </c>
      <c r="J132" s="67" t="s">
        <v>139</v>
      </c>
      <c r="K132" s="67" t="s">
        <v>1110</v>
      </c>
      <c r="L132" s="67" t="s">
        <v>71</v>
      </c>
      <c r="M132" s="67" t="s">
        <v>111</v>
      </c>
      <c r="N132" s="67" t="s">
        <v>141</v>
      </c>
      <c r="O132" s="67" t="s">
        <v>142</v>
      </c>
      <c r="P132" s="67" t="s">
        <v>1111</v>
      </c>
      <c r="Q132" s="67" t="s">
        <v>1112</v>
      </c>
      <c r="R132" s="67" t="s">
        <v>170</v>
      </c>
      <c r="S132" s="67" t="s">
        <v>170</v>
      </c>
      <c r="T132" s="67" t="s">
        <v>170</v>
      </c>
      <c r="U132" s="67"/>
      <c r="V132" s="67" t="s">
        <v>170</v>
      </c>
      <c r="W132" s="67" t="s">
        <v>170</v>
      </c>
      <c r="X132" s="67" t="s">
        <v>170</v>
      </c>
      <c r="Y132" s="67" t="s">
        <v>170</v>
      </c>
    </row>
    <row r="133" spans="1:27" ht="270" x14ac:dyDescent="0.25">
      <c r="A133">
        <v>18</v>
      </c>
      <c r="B133" s="67" t="s">
        <v>1113</v>
      </c>
      <c r="C133" s="108">
        <v>43202</v>
      </c>
      <c r="D133" s="67" t="s">
        <v>1114</v>
      </c>
      <c r="E133" s="67" t="s">
        <v>1115</v>
      </c>
      <c r="F133" s="67" t="s">
        <v>1116</v>
      </c>
      <c r="G133" s="67" t="s">
        <v>1117</v>
      </c>
      <c r="H133" s="67" t="s">
        <v>54</v>
      </c>
      <c r="I133" s="67" t="s">
        <v>54</v>
      </c>
      <c r="J133" s="67" t="s">
        <v>986</v>
      </c>
      <c r="K133" s="67" t="s">
        <v>1118</v>
      </c>
      <c r="L133" s="67" t="s">
        <v>71</v>
      </c>
      <c r="M133" s="67" t="s">
        <v>111</v>
      </c>
      <c r="N133" s="67" t="s">
        <v>141</v>
      </c>
      <c r="O133" s="67" t="s">
        <v>142</v>
      </c>
      <c r="P133" s="67" t="s">
        <v>1119</v>
      </c>
      <c r="Q133" s="67" t="s">
        <v>1120</v>
      </c>
      <c r="R133" s="67" t="s">
        <v>170</v>
      </c>
      <c r="S133" s="67" t="s">
        <v>170</v>
      </c>
      <c r="T133" s="67" t="s">
        <v>170</v>
      </c>
      <c r="U133" s="67"/>
      <c r="V133" s="67" t="s">
        <v>170</v>
      </c>
      <c r="W133" s="67" t="s">
        <v>170</v>
      </c>
      <c r="X133" s="67" t="s">
        <v>170</v>
      </c>
      <c r="Y133" s="67" t="s">
        <v>170</v>
      </c>
    </row>
    <row r="134" spans="1:27" ht="255" x14ac:dyDescent="0.25">
      <c r="A134">
        <v>19</v>
      </c>
      <c r="B134" s="67" t="s">
        <v>1121</v>
      </c>
      <c r="C134" s="108">
        <v>43208</v>
      </c>
      <c r="D134" s="67" t="s">
        <v>1122</v>
      </c>
      <c r="E134" s="67" t="s">
        <v>1123</v>
      </c>
      <c r="F134" s="67" t="s">
        <v>154</v>
      </c>
      <c r="G134" s="67" t="s">
        <v>992</v>
      </c>
      <c r="H134" s="67" t="s">
        <v>54</v>
      </c>
      <c r="I134" s="67" t="s">
        <v>54</v>
      </c>
      <c r="J134" s="67" t="s">
        <v>986</v>
      </c>
      <c r="K134" s="67" t="s">
        <v>1124</v>
      </c>
      <c r="L134" s="67" t="s">
        <v>71</v>
      </c>
      <c r="M134" s="67" t="s">
        <v>111</v>
      </c>
      <c r="N134" s="67" t="s">
        <v>141</v>
      </c>
      <c r="O134" s="67" t="s">
        <v>142</v>
      </c>
      <c r="P134" s="67" t="s">
        <v>1125</v>
      </c>
      <c r="Q134" s="67" t="s">
        <v>1126</v>
      </c>
      <c r="R134" s="67" t="s">
        <v>170</v>
      </c>
      <c r="S134" s="67" t="s">
        <v>170</v>
      </c>
      <c r="T134" s="67" t="s">
        <v>170</v>
      </c>
      <c r="U134" s="67"/>
      <c r="V134" s="67" t="s">
        <v>170</v>
      </c>
      <c r="W134" s="67" t="s">
        <v>170</v>
      </c>
      <c r="X134" s="67" t="s">
        <v>170</v>
      </c>
      <c r="Y134" s="67" t="s">
        <v>170</v>
      </c>
    </row>
    <row r="135" spans="1:27" ht="150" x14ac:dyDescent="0.25">
      <c r="A135">
        <v>20</v>
      </c>
      <c r="B135" s="67" t="s">
        <v>1127</v>
      </c>
      <c r="C135" s="108">
        <v>43209</v>
      </c>
      <c r="D135" s="67" t="s">
        <v>1128</v>
      </c>
      <c r="E135" s="67" t="s">
        <v>1129</v>
      </c>
      <c r="F135" s="67" t="s">
        <v>1130</v>
      </c>
      <c r="G135" s="67" t="s">
        <v>992</v>
      </c>
      <c r="H135" s="67" t="s">
        <v>54</v>
      </c>
      <c r="I135" s="67" t="s">
        <v>54</v>
      </c>
      <c r="J135" s="67" t="s">
        <v>986</v>
      </c>
      <c r="K135" s="67" t="s">
        <v>1124</v>
      </c>
      <c r="L135" s="67" t="s">
        <v>71</v>
      </c>
      <c r="M135" s="67" t="s">
        <v>111</v>
      </c>
      <c r="N135" s="67" t="s">
        <v>141</v>
      </c>
      <c r="O135" s="67" t="s">
        <v>142</v>
      </c>
      <c r="P135" s="67" t="s">
        <v>1131</v>
      </c>
      <c r="Q135" s="67" t="s">
        <v>1132</v>
      </c>
      <c r="R135" s="67" t="s">
        <v>170</v>
      </c>
      <c r="S135" s="67" t="s">
        <v>170</v>
      </c>
      <c r="T135" s="67" t="s">
        <v>170</v>
      </c>
      <c r="U135" s="67"/>
      <c r="V135" s="67" t="s">
        <v>170</v>
      </c>
      <c r="W135" s="67" t="s">
        <v>170</v>
      </c>
      <c r="X135" s="67" t="s">
        <v>170</v>
      </c>
      <c r="Y135" s="67" t="s">
        <v>170</v>
      </c>
    </row>
    <row r="136" spans="1:27" ht="180" x14ac:dyDescent="0.25">
      <c r="A136">
        <v>21</v>
      </c>
      <c r="B136" s="67" t="s">
        <v>1133</v>
      </c>
      <c r="C136" s="108">
        <v>43215</v>
      </c>
      <c r="D136" s="67" t="s">
        <v>1134</v>
      </c>
      <c r="E136" s="67" t="s">
        <v>1135</v>
      </c>
      <c r="F136" s="67" t="s">
        <v>1136</v>
      </c>
      <c r="G136" s="67" t="s">
        <v>1137</v>
      </c>
      <c r="H136" s="67" t="s">
        <v>54</v>
      </c>
      <c r="I136" s="67" t="s">
        <v>54</v>
      </c>
      <c r="J136" s="67" t="s">
        <v>986</v>
      </c>
      <c r="K136" s="67" t="s">
        <v>1124</v>
      </c>
      <c r="L136" s="67" t="s">
        <v>71</v>
      </c>
      <c r="M136" s="67" t="s">
        <v>111</v>
      </c>
      <c r="N136" s="67" t="s">
        <v>141</v>
      </c>
      <c r="O136" s="67" t="s">
        <v>142</v>
      </c>
      <c r="P136" s="67" t="s">
        <v>1138</v>
      </c>
      <c r="Q136" s="67" t="s">
        <v>1139</v>
      </c>
      <c r="R136" s="67" t="s">
        <v>170</v>
      </c>
      <c r="S136" s="67" t="s">
        <v>170</v>
      </c>
      <c r="T136" s="67" t="s">
        <v>170</v>
      </c>
      <c r="U136" s="67"/>
      <c r="V136" s="67" t="s">
        <v>170</v>
      </c>
      <c r="W136" s="67" t="s">
        <v>170</v>
      </c>
      <c r="X136" s="67" t="s">
        <v>170</v>
      </c>
      <c r="Y136" s="67" t="s">
        <v>170</v>
      </c>
    </row>
    <row r="137" spans="1:27" ht="195" x14ac:dyDescent="0.25">
      <c r="A137">
        <v>22</v>
      </c>
      <c r="B137" s="67" t="s">
        <v>1140</v>
      </c>
      <c r="C137" s="108">
        <v>43216</v>
      </c>
      <c r="D137" s="67" t="s">
        <v>1141</v>
      </c>
      <c r="E137" s="67" t="s">
        <v>1142</v>
      </c>
      <c r="F137" s="67" t="s">
        <v>1143</v>
      </c>
      <c r="G137" s="67" t="s">
        <v>928</v>
      </c>
      <c r="H137" s="67" t="s">
        <v>8</v>
      </c>
      <c r="I137" s="67" t="s">
        <v>52</v>
      </c>
      <c r="J137" s="67" t="s">
        <v>139</v>
      </c>
      <c r="K137" s="67" t="s">
        <v>1124</v>
      </c>
      <c r="L137" s="67" t="s">
        <v>71</v>
      </c>
      <c r="M137" s="67" t="s">
        <v>111</v>
      </c>
      <c r="N137" s="67" t="s">
        <v>141</v>
      </c>
      <c r="O137" s="67" t="s">
        <v>142</v>
      </c>
      <c r="P137" s="67" t="s">
        <v>1144</v>
      </c>
      <c r="Q137" s="67" t="s">
        <v>1145</v>
      </c>
      <c r="R137" s="67" t="s">
        <v>170</v>
      </c>
      <c r="S137" s="67" t="s">
        <v>170</v>
      </c>
      <c r="T137" s="67" t="s">
        <v>170</v>
      </c>
      <c r="U137" s="67"/>
      <c r="V137" s="67" t="s">
        <v>170</v>
      </c>
      <c r="W137" s="67" t="s">
        <v>170</v>
      </c>
      <c r="X137" s="67" t="s">
        <v>170</v>
      </c>
      <c r="Y137" s="67" t="s">
        <v>170</v>
      </c>
    </row>
    <row r="138" spans="1:27" ht="225" x14ac:dyDescent="0.25">
      <c r="A138">
        <v>23</v>
      </c>
      <c r="B138" s="67" t="s">
        <v>1146</v>
      </c>
      <c r="C138" s="108">
        <v>43222</v>
      </c>
      <c r="D138" s="67" t="s">
        <v>1147</v>
      </c>
      <c r="E138" s="67" t="s">
        <v>1148</v>
      </c>
      <c r="F138" s="67" t="s">
        <v>630</v>
      </c>
      <c r="G138" s="67" t="s">
        <v>447</v>
      </c>
      <c r="H138" s="67" t="s">
        <v>6</v>
      </c>
      <c r="I138" s="67" t="s">
        <v>52</v>
      </c>
      <c r="J138" s="67" t="s">
        <v>139</v>
      </c>
      <c r="K138" s="67" t="s">
        <v>1124</v>
      </c>
      <c r="L138" s="67" t="s">
        <v>71</v>
      </c>
      <c r="M138" s="67" t="s">
        <v>111</v>
      </c>
      <c r="N138" s="67" t="s">
        <v>141</v>
      </c>
      <c r="O138" s="67" t="s">
        <v>248</v>
      </c>
      <c r="P138" s="67" t="s">
        <v>1149</v>
      </c>
      <c r="Q138" s="67" t="s">
        <v>1150</v>
      </c>
      <c r="R138" s="67" t="s">
        <v>170</v>
      </c>
      <c r="S138" s="67" t="s">
        <v>170</v>
      </c>
      <c r="T138" s="67" t="s">
        <v>170</v>
      </c>
      <c r="U138" s="67"/>
      <c r="V138" s="67" t="s">
        <v>170</v>
      </c>
      <c r="W138" s="67" t="s">
        <v>170</v>
      </c>
      <c r="X138" s="67" t="s">
        <v>170</v>
      </c>
      <c r="Y138" s="67" t="s">
        <v>170</v>
      </c>
    </row>
    <row r="139" spans="1:27" ht="210" x14ac:dyDescent="0.25">
      <c r="A139">
        <v>24</v>
      </c>
      <c r="B139" s="67" t="s">
        <v>1151</v>
      </c>
      <c r="C139" s="108">
        <v>43226</v>
      </c>
      <c r="D139" s="67" t="s">
        <v>1152</v>
      </c>
      <c r="E139" s="67" t="s">
        <v>1153</v>
      </c>
      <c r="F139" s="67" t="s">
        <v>404</v>
      </c>
      <c r="G139" s="67" t="s">
        <v>205</v>
      </c>
      <c r="H139" s="67" t="s">
        <v>7</v>
      </c>
      <c r="I139" s="67" t="s">
        <v>52</v>
      </c>
      <c r="J139" s="67" t="s">
        <v>139</v>
      </c>
      <c r="K139" s="67" t="s">
        <v>1154</v>
      </c>
      <c r="L139" s="67" t="s">
        <v>71</v>
      </c>
      <c r="M139" s="67" t="s">
        <v>111</v>
      </c>
      <c r="N139" s="67" t="s">
        <v>141</v>
      </c>
      <c r="O139" s="67" t="s">
        <v>142</v>
      </c>
      <c r="P139" s="67" t="s">
        <v>1155</v>
      </c>
      <c r="Q139" s="67" t="s">
        <v>1156</v>
      </c>
      <c r="R139" s="67" t="s">
        <v>145</v>
      </c>
      <c r="S139" s="67" t="s">
        <v>157</v>
      </c>
      <c r="T139" s="67" t="s">
        <v>158</v>
      </c>
      <c r="U139" s="67" t="s">
        <v>157</v>
      </c>
      <c r="V139" s="67" t="s">
        <v>310</v>
      </c>
      <c r="W139" s="67" t="s">
        <v>61</v>
      </c>
      <c r="X139" s="67" t="s">
        <v>170</v>
      </c>
      <c r="Y139" s="67" t="s">
        <v>170</v>
      </c>
      <c r="Z139" s="107" t="s">
        <v>1157</v>
      </c>
      <c r="AA139" s="67" t="s">
        <v>1158</v>
      </c>
    </row>
    <row r="140" spans="1:27" ht="180" x14ac:dyDescent="0.25">
      <c r="A140">
        <v>25</v>
      </c>
      <c r="B140" s="67" t="s">
        <v>1159</v>
      </c>
      <c r="C140" s="108">
        <v>43232</v>
      </c>
      <c r="D140" s="67" t="s">
        <v>1160</v>
      </c>
      <c r="E140" s="67" t="s">
        <v>1161</v>
      </c>
      <c r="F140" s="67" t="s">
        <v>1162</v>
      </c>
      <c r="G140" s="67" t="s">
        <v>1163</v>
      </c>
      <c r="H140" s="67" t="s">
        <v>6</v>
      </c>
      <c r="I140" s="67" t="s">
        <v>52</v>
      </c>
      <c r="J140" s="67" t="s">
        <v>139</v>
      </c>
      <c r="K140" s="67" t="s">
        <v>1102</v>
      </c>
      <c r="L140" s="67" t="s">
        <v>71</v>
      </c>
      <c r="M140" s="67" t="s">
        <v>111</v>
      </c>
      <c r="N140" s="67" t="s">
        <v>141</v>
      </c>
      <c r="O140" s="67" t="s">
        <v>248</v>
      </c>
      <c r="P140" s="67" t="s">
        <v>1164</v>
      </c>
      <c r="Q140" s="67" t="s">
        <v>1165</v>
      </c>
      <c r="R140" s="67" t="s">
        <v>145</v>
      </c>
      <c r="S140" s="67" t="s">
        <v>157</v>
      </c>
      <c r="T140" s="67" t="s">
        <v>145</v>
      </c>
      <c r="U140" s="67" t="s">
        <v>157</v>
      </c>
      <c r="V140" s="67" t="s">
        <v>157</v>
      </c>
      <c r="W140" s="67" t="s">
        <v>86</v>
      </c>
      <c r="X140" s="67" t="s">
        <v>157</v>
      </c>
      <c r="Y140" s="67" t="s">
        <v>1160</v>
      </c>
      <c r="Z140" t="s">
        <v>1166</v>
      </c>
      <c r="AA140" s="67" t="s">
        <v>1167</v>
      </c>
    </row>
    <row r="141" spans="1:27" ht="270" x14ac:dyDescent="0.25">
      <c r="A141">
        <v>26</v>
      </c>
      <c r="B141" s="67" t="s">
        <v>1168</v>
      </c>
      <c r="C141" s="108">
        <v>43233</v>
      </c>
      <c r="D141" s="67" t="s">
        <v>1169</v>
      </c>
      <c r="E141" s="67" t="s">
        <v>1170</v>
      </c>
      <c r="F141" s="67" t="s">
        <v>1171</v>
      </c>
      <c r="G141" s="67" t="s">
        <v>1172</v>
      </c>
      <c r="H141" s="67" t="s">
        <v>5</v>
      </c>
      <c r="I141" s="67" t="s">
        <v>53</v>
      </c>
      <c r="J141" s="67" t="s">
        <v>139</v>
      </c>
      <c r="K141" s="67" t="s">
        <v>1173</v>
      </c>
      <c r="L141" s="67" t="s">
        <v>71</v>
      </c>
      <c r="M141" s="67" t="s">
        <v>111</v>
      </c>
      <c r="N141" s="67" t="s">
        <v>306</v>
      </c>
      <c r="O141" s="67" t="s">
        <v>142</v>
      </c>
      <c r="P141" s="67" t="s">
        <v>1174</v>
      </c>
      <c r="Q141" s="67" t="s">
        <v>1175</v>
      </c>
      <c r="R141" s="67" t="s">
        <v>157</v>
      </c>
      <c r="S141" s="67" t="s">
        <v>170</v>
      </c>
      <c r="T141" s="67" t="s">
        <v>170</v>
      </c>
      <c r="U141" s="67"/>
      <c r="V141" s="67" t="s">
        <v>170</v>
      </c>
      <c r="W141" s="67" t="s">
        <v>170</v>
      </c>
      <c r="X141" s="67" t="s">
        <v>170</v>
      </c>
      <c r="Y141" s="67" t="s">
        <v>170</v>
      </c>
    </row>
    <row r="142" spans="1:27" ht="360" x14ac:dyDescent="0.25">
      <c r="A142">
        <v>27</v>
      </c>
      <c r="B142" s="67" t="s">
        <v>1176</v>
      </c>
      <c r="C142" s="108">
        <v>43240</v>
      </c>
      <c r="D142" s="67" t="s">
        <v>1177</v>
      </c>
      <c r="E142" s="67" t="s">
        <v>1178</v>
      </c>
      <c r="F142" s="67" t="s">
        <v>1179</v>
      </c>
      <c r="G142" s="67" t="s">
        <v>1180</v>
      </c>
      <c r="H142" s="67" t="s">
        <v>19</v>
      </c>
      <c r="I142" s="67" t="s">
        <v>807</v>
      </c>
      <c r="J142" s="67" t="s">
        <v>139</v>
      </c>
      <c r="K142" s="67" t="s">
        <v>1154</v>
      </c>
      <c r="L142" s="67" t="s">
        <v>71</v>
      </c>
      <c r="M142" s="67" t="s">
        <v>111</v>
      </c>
      <c r="N142" s="67" t="s">
        <v>141</v>
      </c>
      <c r="O142" s="67" t="s">
        <v>248</v>
      </c>
      <c r="P142" s="67" t="s">
        <v>1181</v>
      </c>
      <c r="Q142" s="67" t="s">
        <v>1182</v>
      </c>
      <c r="R142" s="67" t="s">
        <v>157</v>
      </c>
      <c r="S142" s="67" t="s">
        <v>157</v>
      </c>
      <c r="T142" s="67" t="s">
        <v>1183</v>
      </c>
      <c r="U142" s="67"/>
      <c r="V142" s="67" t="s">
        <v>170</v>
      </c>
      <c r="W142" s="67" t="s">
        <v>170</v>
      </c>
      <c r="X142" s="67" t="s">
        <v>157</v>
      </c>
      <c r="Y142" s="67" t="s">
        <v>1184</v>
      </c>
    </row>
    <row r="143" spans="1:27" ht="225" x14ac:dyDescent="0.25">
      <c r="A143">
        <v>28</v>
      </c>
      <c r="B143" s="67" t="s">
        <v>1185</v>
      </c>
      <c r="C143" s="108">
        <v>43241</v>
      </c>
      <c r="D143" s="67" t="s">
        <v>1186</v>
      </c>
      <c r="E143" s="67" t="s">
        <v>4</v>
      </c>
      <c r="F143" s="67" t="s">
        <v>4</v>
      </c>
      <c r="G143" s="67" t="s">
        <v>4</v>
      </c>
      <c r="H143" s="67" t="s">
        <v>4</v>
      </c>
      <c r="I143" s="67" t="s">
        <v>4</v>
      </c>
      <c r="J143" s="67" t="s">
        <v>4</v>
      </c>
      <c r="K143" s="67" t="s">
        <v>4</v>
      </c>
      <c r="L143" s="67" t="s">
        <v>4</v>
      </c>
      <c r="M143" s="67" t="s">
        <v>4</v>
      </c>
      <c r="N143" s="67" t="s">
        <v>4</v>
      </c>
      <c r="O143" s="67" t="s">
        <v>4</v>
      </c>
      <c r="P143" s="67" t="s">
        <v>1187</v>
      </c>
      <c r="Q143" s="67" t="s">
        <v>1188</v>
      </c>
      <c r="R143" s="67" t="s">
        <v>170</v>
      </c>
      <c r="S143" s="67" t="s">
        <v>170</v>
      </c>
      <c r="T143" s="67" t="s">
        <v>170</v>
      </c>
      <c r="U143" s="67"/>
      <c r="V143" s="67" t="s">
        <v>170</v>
      </c>
      <c r="W143" s="67" t="s">
        <v>170</v>
      </c>
      <c r="X143" s="67" t="s">
        <v>170</v>
      </c>
      <c r="Y143" s="67" t="s">
        <v>170</v>
      </c>
    </row>
    <row r="144" spans="1:27" ht="285" x14ac:dyDescent="0.25">
      <c r="A144">
        <v>29</v>
      </c>
      <c r="B144" s="67" t="s">
        <v>1189</v>
      </c>
      <c r="C144" s="108">
        <v>43241</v>
      </c>
      <c r="D144" s="67" t="s">
        <v>1190</v>
      </c>
      <c r="E144" s="67" t="s">
        <v>4</v>
      </c>
      <c r="F144" s="67" t="s">
        <v>4</v>
      </c>
      <c r="G144" s="67" t="s">
        <v>4</v>
      </c>
      <c r="H144" s="67" t="s">
        <v>4</v>
      </c>
      <c r="I144" s="67" t="s">
        <v>4</v>
      </c>
      <c r="J144" s="67" t="s">
        <v>4</v>
      </c>
      <c r="K144" s="67" t="s">
        <v>4</v>
      </c>
      <c r="L144" s="67" t="s">
        <v>4</v>
      </c>
      <c r="M144" s="67" t="s">
        <v>4</v>
      </c>
      <c r="N144" s="67" t="s">
        <v>4</v>
      </c>
      <c r="O144" s="67" t="s">
        <v>4</v>
      </c>
      <c r="P144" s="67" t="s">
        <v>1191</v>
      </c>
      <c r="Q144" s="67" t="s">
        <v>1192</v>
      </c>
      <c r="R144" s="67" t="s">
        <v>170</v>
      </c>
      <c r="S144" s="67" t="s">
        <v>170</v>
      </c>
      <c r="T144" s="67" t="s">
        <v>170</v>
      </c>
      <c r="U144" s="67"/>
      <c r="V144" s="67" t="s">
        <v>170</v>
      </c>
      <c r="W144" s="67" t="s">
        <v>170</v>
      </c>
      <c r="X144" s="67" t="s">
        <v>170</v>
      </c>
      <c r="Y144" s="67" t="s">
        <v>170</v>
      </c>
    </row>
    <row r="145" spans="1:27" ht="225" x14ac:dyDescent="0.25">
      <c r="A145">
        <v>30</v>
      </c>
      <c r="B145" s="67" t="s">
        <v>1193</v>
      </c>
      <c r="C145" s="108">
        <v>43261</v>
      </c>
      <c r="D145" s="67" t="s">
        <v>1045</v>
      </c>
      <c r="E145" s="67" t="s">
        <v>3</v>
      </c>
      <c r="F145" s="67" t="s">
        <v>3</v>
      </c>
      <c r="G145" s="67" t="s">
        <v>3</v>
      </c>
      <c r="H145" s="67" t="s">
        <v>3</v>
      </c>
      <c r="I145" s="67" t="s">
        <v>3</v>
      </c>
      <c r="J145" s="67" t="s">
        <v>3</v>
      </c>
      <c r="K145" s="67" t="s">
        <v>3</v>
      </c>
      <c r="L145" s="67" t="s">
        <v>3</v>
      </c>
      <c r="M145" s="67" t="s">
        <v>3</v>
      </c>
      <c r="N145" s="67" t="s">
        <v>3</v>
      </c>
      <c r="O145" s="67" t="s">
        <v>3</v>
      </c>
      <c r="P145" s="67" t="s">
        <v>1194</v>
      </c>
      <c r="Q145" s="67" t="s">
        <v>1195</v>
      </c>
      <c r="R145" s="67" t="s">
        <v>1196</v>
      </c>
      <c r="S145" s="67" t="s">
        <v>170</v>
      </c>
      <c r="T145" s="67" t="s">
        <v>170</v>
      </c>
      <c r="U145" s="67"/>
      <c r="V145" s="67" t="s">
        <v>170</v>
      </c>
      <c r="W145" s="67" t="s">
        <v>170</v>
      </c>
      <c r="X145" s="67" t="s">
        <v>170</v>
      </c>
      <c r="Y145" s="67" t="s">
        <v>170</v>
      </c>
    </row>
    <row r="146" spans="1:27" ht="240" x14ac:dyDescent="0.25">
      <c r="A146">
        <v>31</v>
      </c>
      <c r="B146" s="67" t="s">
        <v>1197</v>
      </c>
      <c r="C146" s="108">
        <v>43275</v>
      </c>
      <c r="D146" s="67" t="s">
        <v>1198</v>
      </c>
      <c r="E146" s="67" t="s">
        <v>1199</v>
      </c>
      <c r="F146" s="67" t="s">
        <v>1199</v>
      </c>
      <c r="G146" s="67" t="s">
        <v>1199</v>
      </c>
      <c r="H146" s="67" t="s">
        <v>1199</v>
      </c>
      <c r="I146" s="67" t="s">
        <v>1199</v>
      </c>
      <c r="J146" s="67" t="s">
        <v>1199</v>
      </c>
      <c r="K146" s="67" t="s">
        <v>1199</v>
      </c>
      <c r="L146" s="67" t="s">
        <v>1199</v>
      </c>
      <c r="M146" s="67" t="s">
        <v>1199</v>
      </c>
      <c r="N146" s="67" t="s">
        <v>1199</v>
      </c>
      <c r="O146" s="67" t="s">
        <v>1199</v>
      </c>
      <c r="P146" s="67" t="s">
        <v>1200</v>
      </c>
      <c r="Q146" s="67" t="s">
        <v>1201</v>
      </c>
      <c r="R146" s="67" t="s">
        <v>170</v>
      </c>
      <c r="S146" s="67" t="s">
        <v>170</v>
      </c>
      <c r="T146" s="67" t="s">
        <v>170</v>
      </c>
      <c r="U146" s="67"/>
      <c r="V146" s="67" t="s">
        <v>170</v>
      </c>
      <c r="W146" s="67" t="s">
        <v>170</v>
      </c>
      <c r="X146" s="67" t="s">
        <v>157</v>
      </c>
      <c r="Y146" s="67" t="s">
        <v>1198</v>
      </c>
    </row>
    <row r="147" spans="1:27" ht="225" x14ac:dyDescent="0.25">
      <c r="A147">
        <v>32</v>
      </c>
      <c r="B147" s="67" t="s">
        <v>1202</v>
      </c>
      <c r="C147" s="108">
        <v>43287</v>
      </c>
      <c r="D147" s="67" t="s">
        <v>1203</v>
      </c>
      <c r="E147" s="67" t="s">
        <v>1199</v>
      </c>
      <c r="F147" s="67" t="s">
        <v>1199</v>
      </c>
      <c r="G147" s="67" t="s">
        <v>1199</v>
      </c>
      <c r="H147" s="67" t="s">
        <v>1199</v>
      </c>
      <c r="I147" s="67" t="s">
        <v>1199</v>
      </c>
      <c r="J147" s="67" t="s">
        <v>1199</v>
      </c>
      <c r="K147" s="67" t="s">
        <v>1199</v>
      </c>
      <c r="L147" s="67" t="s">
        <v>1199</v>
      </c>
      <c r="M147" s="67" t="s">
        <v>1199</v>
      </c>
      <c r="N147" s="67" t="s">
        <v>1199</v>
      </c>
      <c r="O147" s="67" t="s">
        <v>1199</v>
      </c>
      <c r="P147" s="67" t="s">
        <v>1204</v>
      </c>
      <c r="Q147" s="67" t="s">
        <v>1205</v>
      </c>
      <c r="R147" s="67" t="s">
        <v>170</v>
      </c>
      <c r="S147" s="67" t="s">
        <v>170</v>
      </c>
      <c r="T147" s="67" t="s">
        <v>170</v>
      </c>
      <c r="U147" s="67"/>
      <c r="V147" s="67" t="s">
        <v>170</v>
      </c>
      <c r="W147" s="67" t="s">
        <v>170</v>
      </c>
      <c r="X147" s="67" t="s">
        <v>170</v>
      </c>
      <c r="Y147" s="67" t="s">
        <v>170</v>
      </c>
    </row>
    <row r="148" spans="1:27" ht="240" x14ac:dyDescent="0.25">
      <c r="A148">
        <v>33</v>
      </c>
      <c r="B148" s="67" t="s">
        <v>1206</v>
      </c>
      <c r="C148" s="108">
        <v>43306</v>
      </c>
      <c r="D148" s="67" t="s">
        <v>1207</v>
      </c>
      <c r="E148" s="67" t="s">
        <v>1208</v>
      </c>
      <c r="F148" s="67" t="s">
        <v>1209</v>
      </c>
      <c r="G148" s="67" t="s">
        <v>1209</v>
      </c>
      <c r="H148" s="67" t="s">
        <v>15</v>
      </c>
      <c r="I148" s="67" t="s">
        <v>50</v>
      </c>
      <c r="J148" s="67" t="s">
        <v>139</v>
      </c>
      <c r="K148" s="67" t="s">
        <v>1118</v>
      </c>
      <c r="L148" s="67" t="s">
        <v>71</v>
      </c>
      <c r="M148" s="67" t="s">
        <v>111</v>
      </c>
      <c r="N148" s="67" t="s">
        <v>141</v>
      </c>
      <c r="O148" s="67" t="s">
        <v>142</v>
      </c>
      <c r="P148" s="67" t="s">
        <v>1210</v>
      </c>
      <c r="Q148" s="67" t="s">
        <v>1211</v>
      </c>
      <c r="R148" s="67" t="s">
        <v>145</v>
      </c>
      <c r="S148" s="67" t="s">
        <v>145</v>
      </c>
      <c r="T148" s="67" t="s">
        <v>145</v>
      </c>
      <c r="U148" s="67"/>
      <c r="V148" s="67" t="s">
        <v>145</v>
      </c>
      <c r="W148" s="67" t="s">
        <v>145</v>
      </c>
      <c r="X148" s="67" t="s">
        <v>157</v>
      </c>
      <c r="Y148" s="67" t="s">
        <v>145</v>
      </c>
    </row>
    <row r="149" spans="1:27" ht="135" x14ac:dyDescent="0.25">
      <c r="A149">
        <v>34</v>
      </c>
      <c r="B149" s="67" t="s">
        <v>1212</v>
      </c>
      <c r="C149" s="108">
        <v>43314</v>
      </c>
      <c r="D149" s="67" t="s">
        <v>1213</v>
      </c>
      <c r="E149" s="67" t="s">
        <v>1214</v>
      </c>
      <c r="F149" s="67" t="s">
        <v>367</v>
      </c>
      <c r="G149" s="67" t="s">
        <v>928</v>
      </c>
      <c r="H149" s="67" t="s">
        <v>8</v>
      </c>
      <c r="I149" s="67" t="s">
        <v>52</v>
      </c>
      <c r="J149" s="67" t="s">
        <v>139</v>
      </c>
      <c r="K149" s="67" t="s">
        <v>1118</v>
      </c>
      <c r="L149" s="67" t="s">
        <v>71</v>
      </c>
      <c r="M149" s="67" t="s">
        <v>111</v>
      </c>
      <c r="N149" s="67" t="s">
        <v>141</v>
      </c>
      <c r="O149" s="67" t="s">
        <v>248</v>
      </c>
      <c r="P149" s="67" t="s">
        <v>1215</v>
      </c>
      <c r="Q149" s="67" t="s">
        <v>1216</v>
      </c>
      <c r="R149" s="67" t="s">
        <v>145</v>
      </c>
      <c r="S149" s="67" t="s">
        <v>145</v>
      </c>
      <c r="T149" s="67" t="s">
        <v>145</v>
      </c>
      <c r="U149" s="67"/>
      <c r="V149" s="67" t="s">
        <v>145</v>
      </c>
      <c r="W149" s="67" t="s">
        <v>145</v>
      </c>
      <c r="X149" s="67" t="s">
        <v>157</v>
      </c>
      <c r="Y149" s="67" t="s">
        <v>170</v>
      </c>
    </row>
    <row r="150" spans="1:27" ht="135" x14ac:dyDescent="0.25">
      <c r="A150">
        <v>35</v>
      </c>
      <c r="B150" s="67" t="s">
        <v>1217</v>
      </c>
      <c r="C150" s="108">
        <v>43318</v>
      </c>
      <c r="D150" s="67" t="s">
        <v>858</v>
      </c>
      <c r="E150" s="67" t="s">
        <v>1218</v>
      </c>
      <c r="F150" s="67" t="s">
        <v>1219</v>
      </c>
      <c r="G150" s="67" t="s">
        <v>1220</v>
      </c>
      <c r="H150" s="67" t="s">
        <v>54</v>
      </c>
      <c r="I150" s="67" t="s">
        <v>54</v>
      </c>
      <c r="J150" s="67" t="s">
        <v>817</v>
      </c>
      <c r="K150" s="67" t="s">
        <v>1124</v>
      </c>
      <c r="L150" s="67" t="s">
        <v>71</v>
      </c>
      <c r="M150" s="67" t="s">
        <v>111</v>
      </c>
      <c r="N150" s="67" t="s">
        <v>141</v>
      </c>
      <c r="O150" s="67" t="s">
        <v>142</v>
      </c>
      <c r="P150" s="67" t="s">
        <v>1221</v>
      </c>
      <c r="Q150" s="67" t="s">
        <v>1222</v>
      </c>
      <c r="R150" s="67" t="s">
        <v>158</v>
      </c>
      <c r="S150" s="67" t="s">
        <v>170</v>
      </c>
      <c r="T150" s="67" t="s">
        <v>170</v>
      </c>
      <c r="U150" s="67"/>
      <c r="V150" s="67" t="s">
        <v>170</v>
      </c>
      <c r="W150" s="67" t="s">
        <v>170</v>
      </c>
      <c r="X150" s="67" t="s">
        <v>170</v>
      </c>
      <c r="Y150" s="67" t="s">
        <v>170</v>
      </c>
    </row>
    <row r="151" spans="1:27" ht="375" x14ac:dyDescent="0.25">
      <c r="A151">
        <v>36</v>
      </c>
      <c r="B151" s="67" t="s">
        <v>1223</v>
      </c>
      <c r="C151" s="108">
        <v>43330</v>
      </c>
      <c r="D151" s="67" t="s">
        <v>1224</v>
      </c>
      <c r="E151" s="67" t="s">
        <v>1225</v>
      </c>
      <c r="F151" s="67" t="s">
        <v>1226</v>
      </c>
      <c r="G151" s="67" t="s">
        <v>1227</v>
      </c>
      <c r="H151" s="67" t="s">
        <v>6</v>
      </c>
      <c r="I151" s="67" t="s">
        <v>52</v>
      </c>
      <c r="J151" s="67" t="s">
        <v>139</v>
      </c>
      <c r="K151" s="67" t="s">
        <v>1228</v>
      </c>
      <c r="L151" s="67" t="s">
        <v>71</v>
      </c>
      <c r="M151" s="67" t="s">
        <v>111</v>
      </c>
      <c r="N151" s="67" t="s">
        <v>523</v>
      </c>
      <c r="O151" s="67" t="s">
        <v>248</v>
      </c>
      <c r="P151" s="67" t="s">
        <v>1229</v>
      </c>
      <c r="Q151" s="67" t="s">
        <v>1230</v>
      </c>
      <c r="R151" s="67" t="s">
        <v>145</v>
      </c>
      <c r="S151" s="67" t="s">
        <v>157</v>
      </c>
      <c r="T151" s="67" t="s">
        <v>170</v>
      </c>
      <c r="U151" s="67" t="s">
        <v>157</v>
      </c>
      <c r="V151" s="67" t="s">
        <v>310</v>
      </c>
      <c r="W151" s="67" t="s">
        <v>86</v>
      </c>
      <c r="X151" s="67" t="s">
        <v>157</v>
      </c>
      <c r="Y151" s="67" t="s">
        <v>1231</v>
      </c>
      <c r="Z151" s="110" t="s">
        <v>1232</v>
      </c>
      <c r="AA151" s="67" t="s">
        <v>1233</v>
      </c>
    </row>
    <row r="152" spans="1:27" ht="150" x14ac:dyDescent="0.25">
      <c r="A152">
        <v>37</v>
      </c>
      <c r="B152" s="67" t="s">
        <v>1234</v>
      </c>
      <c r="C152" s="108">
        <v>43333</v>
      </c>
      <c r="D152" s="67" t="s">
        <v>1235</v>
      </c>
      <c r="E152" s="67" t="s">
        <v>1236</v>
      </c>
      <c r="F152" s="67" t="s">
        <v>154</v>
      </c>
      <c r="G152" s="67" t="s">
        <v>992</v>
      </c>
      <c r="H152" s="67" t="s">
        <v>54</v>
      </c>
      <c r="I152" s="67" t="s">
        <v>54</v>
      </c>
      <c r="J152" s="67" t="s">
        <v>986</v>
      </c>
      <c r="K152" s="67" t="s">
        <v>1124</v>
      </c>
      <c r="L152" s="67" t="s">
        <v>71</v>
      </c>
      <c r="M152" s="67" t="s">
        <v>111</v>
      </c>
      <c r="N152" s="67" t="s">
        <v>141</v>
      </c>
      <c r="O152" s="67" t="s">
        <v>142</v>
      </c>
      <c r="P152" s="67" t="s">
        <v>1237</v>
      </c>
      <c r="Q152" s="67" t="s">
        <v>1238</v>
      </c>
      <c r="R152" s="67" t="s">
        <v>157</v>
      </c>
      <c r="S152" s="67" t="s">
        <v>158</v>
      </c>
      <c r="T152" s="67" t="s">
        <v>170</v>
      </c>
      <c r="U152" s="67"/>
      <c r="V152" s="67" t="s">
        <v>170</v>
      </c>
      <c r="W152" s="67" t="s">
        <v>170</v>
      </c>
      <c r="X152" s="67" t="s">
        <v>170</v>
      </c>
      <c r="Y152" s="67" t="s">
        <v>170</v>
      </c>
    </row>
    <row r="153" spans="1:27" ht="135" x14ac:dyDescent="0.25">
      <c r="A153">
        <v>38</v>
      </c>
      <c r="B153" s="67" t="s">
        <v>1239</v>
      </c>
      <c r="C153" s="108">
        <v>43339</v>
      </c>
      <c r="D153" s="67" t="s">
        <v>1240</v>
      </c>
      <c r="E153" s="67" t="s">
        <v>1199</v>
      </c>
      <c r="F153" s="67" t="s">
        <v>1199</v>
      </c>
      <c r="G153" s="67" t="s">
        <v>1199</v>
      </c>
      <c r="H153" s="67" t="s">
        <v>1199</v>
      </c>
      <c r="I153" s="67" t="s">
        <v>1199</v>
      </c>
      <c r="J153" s="67" t="s">
        <v>1199</v>
      </c>
      <c r="K153" s="67" t="s">
        <v>1199</v>
      </c>
      <c r="L153" s="67" t="s">
        <v>1199</v>
      </c>
      <c r="M153" s="67" t="s">
        <v>1199</v>
      </c>
      <c r="N153" s="67" t="s">
        <v>1199</v>
      </c>
      <c r="O153" s="67" t="s">
        <v>1199</v>
      </c>
      <c r="P153" s="67" t="s">
        <v>1241</v>
      </c>
      <c r="Q153" s="67" t="s">
        <v>1242</v>
      </c>
      <c r="R153" s="67" t="s">
        <v>170</v>
      </c>
      <c r="S153" s="67" t="s">
        <v>170</v>
      </c>
      <c r="T153" s="67" t="s">
        <v>170</v>
      </c>
      <c r="U153" s="67"/>
      <c r="V153" s="67" t="s">
        <v>170</v>
      </c>
      <c r="W153" s="67" t="s">
        <v>170</v>
      </c>
      <c r="X153" s="67" t="s">
        <v>170</v>
      </c>
      <c r="Y153" s="67" t="s">
        <v>170</v>
      </c>
    </row>
    <row r="154" spans="1:27" ht="255" x14ac:dyDescent="0.25">
      <c r="A154">
        <v>39</v>
      </c>
      <c r="B154" s="67" t="s">
        <v>1243</v>
      </c>
      <c r="C154" s="108">
        <v>43366</v>
      </c>
      <c r="D154" s="67" t="s">
        <v>1244</v>
      </c>
      <c r="E154" s="67" t="s">
        <v>422</v>
      </c>
      <c r="F154" s="67" t="s">
        <v>1245</v>
      </c>
      <c r="G154" s="67" t="s">
        <v>1246</v>
      </c>
      <c r="H154" s="67" t="s">
        <v>6</v>
      </c>
      <c r="I154" s="67" t="s">
        <v>52</v>
      </c>
      <c r="J154" s="67" t="s">
        <v>139</v>
      </c>
      <c r="K154" s="67" t="s">
        <v>1247</v>
      </c>
      <c r="L154" s="67" t="s">
        <v>71</v>
      </c>
      <c r="M154" s="67" t="s">
        <v>111</v>
      </c>
      <c r="N154" s="67" t="s">
        <v>306</v>
      </c>
      <c r="O154" s="67" t="s">
        <v>307</v>
      </c>
      <c r="P154" s="67" t="s">
        <v>1248</v>
      </c>
      <c r="Q154" s="67" t="s">
        <v>1249</v>
      </c>
      <c r="R154" s="67" t="s">
        <v>157</v>
      </c>
      <c r="S154" s="67" t="s">
        <v>145</v>
      </c>
      <c r="T154" s="67" t="s">
        <v>170</v>
      </c>
      <c r="U154" s="67"/>
      <c r="V154" s="67" t="s">
        <v>170</v>
      </c>
      <c r="W154" s="67" t="s">
        <v>170</v>
      </c>
      <c r="X154" s="67" t="s">
        <v>157</v>
      </c>
      <c r="Y154" s="67" t="s">
        <v>170</v>
      </c>
    </row>
    <row r="155" spans="1:27" ht="240" x14ac:dyDescent="0.25">
      <c r="A155">
        <v>40</v>
      </c>
      <c r="B155" s="67" t="s">
        <v>1250</v>
      </c>
      <c r="C155" s="108">
        <v>43371</v>
      </c>
      <c r="D155" s="67" t="s">
        <v>1251</v>
      </c>
      <c r="E155" s="67" t="s">
        <v>3</v>
      </c>
      <c r="F155" s="67" t="s">
        <v>3</v>
      </c>
      <c r="G155" s="67" t="s">
        <v>3</v>
      </c>
      <c r="H155" s="67" t="s">
        <v>3</v>
      </c>
      <c r="I155" s="67" t="s">
        <v>3</v>
      </c>
      <c r="J155" s="67" t="s">
        <v>3</v>
      </c>
      <c r="K155" s="67" t="s">
        <v>3</v>
      </c>
      <c r="L155" s="67" t="s">
        <v>3</v>
      </c>
      <c r="M155" s="67" t="s">
        <v>3</v>
      </c>
      <c r="N155" s="67" t="s">
        <v>3</v>
      </c>
      <c r="O155" s="67" t="s">
        <v>3</v>
      </c>
      <c r="P155" s="67" t="s">
        <v>1252</v>
      </c>
      <c r="Q155" s="67" t="s">
        <v>1242</v>
      </c>
      <c r="R155" s="67" t="s">
        <v>170</v>
      </c>
      <c r="S155" s="67" t="s">
        <v>170</v>
      </c>
      <c r="T155" s="67" t="s">
        <v>170</v>
      </c>
      <c r="U155" s="67"/>
      <c r="V155" s="67" t="s">
        <v>170</v>
      </c>
      <c r="W155" s="67" t="s">
        <v>170</v>
      </c>
      <c r="X155" s="67" t="s">
        <v>170</v>
      </c>
      <c r="Y155" s="67" t="s">
        <v>170</v>
      </c>
    </row>
    <row r="156" spans="1:27" ht="195" x14ac:dyDescent="0.25">
      <c r="A156">
        <v>41</v>
      </c>
      <c r="B156" s="67" t="s">
        <v>1253</v>
      </c>
      <c r="C156" s="108">
        <v>43377</v>
      </c>
      <c r="D156" s="67" t="s">
        <v>1254</v>
      </c>
      <c r="E156" s="67" t="s">
        <v>3</v>
      </c>
      <c r="F156" s="67" t="s">
        <v>3</v>
      </c>
      <c r="G156" s="67" t="s">
        <v>3</v>
      </c>
      <c r="H156" s="67" t="s">
        <v>3</v>
      </c>
      <c r="I156" s="67" t="s">
        <v>3</v>
      </c>
      <c r="J156" s="67" t="s">
        <v>3</v>
      </c>
      <c r="K156" s="67" t="s">
        <v>3</v>
      </c>
      <c r="L156" s="67" t="s">
        <v>3</v>
      </c>
      <c r="M156" s="67" t="s">
        <v>3</v>
      </c>
      <c r="N156" s="67" t="s">
        <v>3</v>
      </c>
      <c r="O156" s="67" t="s">
        <v>3</v>
      </c>
      <c r="P156" s="67" t="s">
        <v>1255</v>
      </c>
      <c r="Q156" s="67" t="s">
        <v>1256</v>
      </c>
      <c r="R156" s="67" t="s">
        <v>170</v>
      </c>
      <c r="S156" s="67" t="s">
        <v>170</v>
      </c>
      <c r="T156" s="67" t="s">
        <v>170</v>
      </c>
      <c r="U156" s="67"/>
      <c r="V156" s="67" t="s">
        <v>170</v>
      </c>
      <c r="W156" s="67" t="s">
        <v>170</v>
      </c>
      <c r="X156" s="67" t="s">
        <v>170</v>
      </c>
      <c r="Y156" s="67" t="s">
        <v>170</v>
      </c>
    </row>
    <row r="157" spans="1:27" ht="165" x14ac:dyDescent="0.25">
      <c r="A157">
        <v>42</v>
      </c>
      <c r="B157" s="67" t="s">
        <v>1257</v>
      </c>
      <c r="C157" s="108">
        <v>43378</v>
      </c>
      <c r="D157" s="67" t="s">
        <v>1254</v>
      </c>
      <c r="E157" s="67" t="s">
        <v>4</v>
      </c>
      <c r="F157" s="67" t="s">
        <v>4</v>
      </c>
      <c r="G157" s="67" t="s">
        <v>4</v>
      </c>
      <c r="H157" s="67" t="s">
        <v>4</v>
      </c>
      <c r="I157" s="67" t="s">
        <v>4</v>
      </c>
      <c r="J157" s="67" t="s">
        <v>4</v>
      </c>
      <c r="K157" s="67" t="s">
        <v>4</v>
      </c>
      <c r="L157" s="67" t="s">
        <v>4</v>
      </c>
      <c r="M157" s="67" t="s">
        <v>4</v>
      </c>
      <c r="N157" s="67" t="s">
        <v>4</v>
      </c>
      <c r="O157" s="67" t="s">
        <v>4</v>
      </c>
      <c r="P157" s="67" t="s">
        <v>1258</v>
      </c>
      <c r="Q157" s="67" t="s">
        <v>1259</v>
      </c>
      <c r="R157" s="67" t="s">
        <v>170</v>
      </c>
      <c r="S157" s="67" t="s">
        <v>170</v>
      </c>
      <c r="T157" s="67" t="s">
        <v>170</v>
      </c>
      <c r="U157" s="67"/>
      <c r="V157" s="67" t="s">
        <v>170</v>
      </c>
      <c r="W157" s="67" t="s">
        <v>170</v>
      </c>
      <c r="X157" s="67" t="s">
        <v>170</v>
      </c>
      <c r="Y157" s="67" t="s">
        <v>170</v>
      </c>
    </row>
    <row r="158" spans="1:27" ht="210" x14ac:dyDescent="0.25">
      <c r="A158">
        <v>43</v>
      </c>
      <c r="B158" s="67" t="s">
        <v>1260</v>
      </c>
      <c r="C158" s="108">
        <v>43387</v>
      </c>
      <c r="D158" s="67" t="s">
        <v>1261</v>
      </c>
      <c r="E158" s="67" t="s">
        <v>1262</v>
      </c>
      <c r="F158" s="67" t="s">
        <v>1263</v>
      </c>
      <c r="G158" s="67" t="s">
        <v>1264</v>
      </c>
      <c r="H158" s="67" t="s">
        <v>19</v>
      </c>
      <c r="I158" s="67" t="s">
        <v>807</v>
      </c>
      <c r="J158" s="67" t="s">
        <v>139</v>
      </c>
      <c r="K158" s="67" t="s">
        <v>1265</v>
      </c>
      <c r="L158" s="67" t="s">
        <v>71</v>
      </c>
      <c r="M158" s="67" t="s">
        <v>111</v>
      </c>
      <c r="N158" s="67" t="s">
        <v>306</v>
      </c>
      <c r="O158" s="67" t="s">
        <v>248</v>
      </c>
      <c r="P158" s="67" t="s">
        <v>1266</v>
      </c>
      <c r="Q158" s="67" t="s">
        <v>1267</v>
      </c>
      <c r="R158" s="67" t="s">
        <v>170</v>
      </c>
      <c r="S158" s="67" t="s">
        <v>170</v>
      </c>
      <c r="T158" s="67" t="s">
        <v>170</v>
      </c>
      <c r="U158" s="67"/>
      <c r="V158" s="67" t="s">
        <v>170</v>
      </c>
      <c r="W158" s="67" t="s">
        <v>170</v>
      </c>
      <c r="X158" s="67" t="s">
        <v>157</v>
      </c>
      <c r="Y158" s="67" t="s">
        <v>1268</v>
      </c>
    </row>
    <row r="159" spans="1:27" ht="225" x14ac:dyDescent="0.25">
      <c r="A159">
        <v>44</v>
      </c>
      <c r="B159" s="67" t="s">
        <v>1269</v>
      </c>
      <c r="C159" s="108">
        <v>43389</v>
      </c>
      <c r="D159" s="67" t="s">
        <v>1270</v>
      </c>
      <c r="E159" s="67" t="s">
        <v>3</v>
      </c>
      <c r="F159" s="67" t="s">
        <v>3</v>
      </c>
      <c r="G159" s="67" t="s">
        <v>3</v>
      </c>
      <c r="H159" s="67" t="s">
        <v>3</v>
      </c>
      <c r="I159" s="67" t="s">
        <v>3</v>
      </c>
      <c r="J159" s="67" t="s">
        <v>3</v>
      </c>
      <c r="K159" s="67" t="s">
        <v>3</v>
      </c>
      <c r="L159" s="67" t="s">
        <v>3</v>
      </c>
      <c r="M159" s="67" t="s">
        <v>3</v>
      </c>
      <c r="N159" s="67" t="s">
        <v>3</v>
      </c>
      <c r="O159" s="67" t="s">
        <v>3</v>
      </c>
      <c r="P159" s="67" t="s">
        <v>1271</v>
      </c>
      <c r="Q159" s="67" t="s">
        <v>1272</v>
      </c>
      <c r="R159" s="67" t="s">
        <v>170</v>
      </c>
      <c r="S159" s="67" t="s">
        <v>170</v>
      </c>
      <c r="T159" s="67" t="s">
        <v>170</v>
      </c>
      <c r="U159" s="67"/>
      <c r="V159" s="67" t="s">
        <v>170</v>
      </c>
      <c r="W159" s="67" t="s">
        <v>170</v>
      </c>
      <c r="X159" s="67" t="s">
        <v>170</v>
      </c>
      <c r="Y159" s="67" t="s">
        <v>170</v>
      </c>
    </row>
    <row r="160" spans="1:27" ht="360" x14ac:dyDescent="0.25">
      <c r="A160">
        <v>45</v>
      </c>
      <c r="B160" s="67" t="s">
        <v>1273</v>
      </c>
      <c r="C160" s="108">
        <v>43394</v>
      </c>
      <c r="D160" s="67" t="s">
        <v>858</v>
      </c>
      <c r="E160" s="67" t="s">
        <v>3</v>
      </c>
      <c r="F160" s="67" t="s">
        <v>3</v>
      </c>
      <c r="G160" s="67" t="s">
        <v>3</v>
      </c>
      <c r="H160" s="67" t="s">
        <v>3</v>
      </c>
      <c r="I160" s="67" t="s">
        <v>3</v>
      </c>
      <c r="J160" s="67" t="s">
        <v>3</v>
      </c>
      <c r="K160" s="67" t="s">
        <v>3</v>
      </c>
      <c r="L160" s="67" t="s">
        <v>3</v>
      </c>
      <c r="M160" s="67" t="s">
        <v>3</v>
      </c>
      <c r="N160" s="67" t="s">
        <v>3</v>
      </c>
      <c r="O160" s="67" t="s">
        <v>3</v>
      </c>
      <c r="P160" s="67" t="s">
        <v>1274</v>
      </c>
      <c r="Q160" s="67" t="s">
        <v>1272</v>
      </c>
      <c r="R160" s="67" t="s">
        <v>170</v>
      </c>
      <c r="S160" s="67" t="s">
        <v>170</v>
      </c>
      <c r="T160" s="67" t="s">
        <v>170</v>
      </c>
      <c r="U160" s="67"/>
      <c r="V160" s="67" t="s">
        <v>170</v>
      </c>
      <c r="W160" s="67" t="s">
        <v>170</v>
      </c>
      <c r="X160" s="67" t="s">
        <v>170</v>
      </c>
      <c r="Y160" s="67" t="s">
        <v>170</v>
      </c>
    </row>
    <row r="161" spans="1:27" ht="360" x14ac:dyDescent="0.25">
      <c r="A161">
        <v>46</v>
      </c>
      <c r="B161" s="67" t="s">
        <v>1275</v>
      </c>
      <c r="C161" s="108">
        <v>43453</v>
      </c>
      <c r="D161" s="67" t="s">
        <v>1276</v>
      </c>
      <c r="E161" s="67" t="s">
        <v>1199</v>
      </c>
      <c r="F161" s="67" t="s">
        <v>1199</v>
      </c>
      <c r="G161" s="67" t="s">
        <v>1199</v>
      </c>
      <c r="H161" s="67" t="s">
        <v>1199</v>
      </c>
      <c r="I161" s="67" t="s">
        <v>1199</v>
      </c>
      <c r="J161" s="67" t="s">
        <v>1199</v>
      </c>
      <c r="K161" s="67" t="s">
        <v>1199</v>
      </c>
      <c r="L161" s="67" t="s">
        <v>1199</v>
      </c>
      <c r="M161" s="67" t="s">
        <v>1199</v>
      </c>
      <c r="N161" s="67" t="s">
        <v>1199</v>
      </c>
      <c r="O161" s="67" t="s">
        <v>1199</v>
      </c>
      <c r="P161" s="67" t="s">
        <v>1277</v>
      </c>
      <c r="Q161" s="67" t="s">
        <v>1278</v>
      </c>
      <c r="R161" s="67" t="s">
        <v>170</v>
      </c>
      <c r="S161" s="67" t="s">
        <v>170</v>
      </c>
      <c r="T161" s="67" t="s">
        <v>170</v>
      </c>
      <c r="U161" s="67"/>
      <c r="V161" s="67" t="s">
        <v>170</v>
      </c>
      <c r="W161" s="67" t="s">
        <v>170</v>
      </c>
      <c r="X161" s="67" t="s">
        <v>170</v>
      </c>
      <c r="Y161" s="67" t="s">
        <v>170</v>
      </c>
    </row>
    <row r="162" spans="1:27" ht="240" x14ac:dyDescent="0.25">
      <c r="A162">
        <v>1</v>
      </c>
      <c r="B162" s="67" t="s">
        <v>1279</v>
      </c>
      <c r="C162" s="108">
        <v>43482</v>
      </c>
      <c r="D162" s="67" t="s">
        <v>1280</v>
      </c>
      <c r="E162" s="67" t="s">
        <v>1281</v>
      </c>
      <c r="F162" s="67" t="s">
        <v>3</v>
      </c>
      <c r="G162" s="67" t="s">
        <v>3</v>
      </c>
      <c r="H162" s="67" t="s">
        <v>3</v>
      </c>
      <c r="I162" s="67" t="s">
        <v>3</v>
      </c>
      <c r="J162" s="67" t="s">
        <v>3</v>
      </c>
      <c r="K162" s="67" t="s">
        <v>3</v>
      </c>
      <c r="L162" s="67" t="s">
        <v>3</v>
      </c>
      <c r="M162" s="67" t="s">
        <v>3</v>
      </c>
      <c r="N162" s="67" t="s">
        <v>523</v>
      </c>
      <c r="O162" s="67" t="s">
        <v>3</v>
      </c>
      <c r="P162" s="67" t="s">
        <v>1282</v>
      </c>
      <c r="Q162" s="67" t="s">
        <v>1283</v>
      </c>
      <c r="R162" s="67" t="s">
        <v>145</v>
      </c>
      <c r="S162" s="67" t="s">
        <v>145</v>
      </c>
      <c r="T162" s="67" t="s">
        <v>145</v>
      </c>
      <c r="U162" s="67"/>
      <c r="V162" s="67" t="s">
        <v>145</v>
      </c>
      <c r="W162" s="67" t="s">
        <v>145</v>
      </c>
      <c r="X162" s="67" t="s">
        <v>145</v>
      </c>
      <c r="Y162" s="67" t="s">
        <v>145</v>
      </c>
    </row>
    <row r="163" spans="1:27" ht="255" x14ac:dyDescent="0.25">
      <c r="A163">
        <v>2</v>
      </c>
      <c r="B163" s="67" t="s">
        <v>1284</v>
      </c>
      <c r="C163" s="108">
        <v>43499</v>
      </c>
      <c r="D163" s="67" t="s">
        <v>1285</v>
      </c>
      <c r="E163" s="67" t="s">
        <v>1286</v>
      </c>
      <c r="F163" s="67" t="s">
        <v>1287</v>
      </c>
      <c r="G163" s="67" t="s">
        <v>1288</v>
      </c>
      <c r="H163" s="67" t="s">
        <v>23</v>
      </c>
      <c r="I163" s="67" t="s">
        <v>807</v>
      </c>
      <c r="J163" s="67" t="s">
        <v>139</v>
      </c>
      <c r="K163" s="67" t="s">
        <v>1289</v>
      </c>
      <c r="L163" s="67" t="s">
        <v>71</v>
      </c>
      <c r="M163" s="67" t="s">
        <v>111</v>
      </c>
      <c r="N163" s="67" t="s">
        <v>141</v>
      </c>
      <c r="O163" s="67" t="s">
        <v>142</v>
      </c>
      <c r="P163" s="67" t="s">
        <v>1290</v>
      </c>
      <c r="Q163" s="67" t="s">
        <v>1291</v>
      </c>
      <c r="R163" s="67" t="s">
        <v>145</v>
      </c>
      <c r="S163" s="67" t="s">
        <v>157</v>
      </c>
      <c r="T163" s="67" t="s">
        <v>145</v>
      </c>
      <c r="U163" s="67" t="s">
        <v>157</v>
      </c>
      <c r="V163" s="67" t="s">
        <v>310</v>
      </c>
      <c r="W163" s="67" t="s">
        <v>90</v>
      </c>
      <c r="X163" s="67" t="s">
        <v>157</v>
      </c>
      <c r="Y163" s="67" t="s">
        <v>170</v>
      </c>
      <c r="Z163" s="120" t="s">
        <v>1292</v>
      </c>
      <c r="AA163" s="67" t="s">
        <v>1293</v>
      </c>
    </row>
    <row r="164" spans="1:27" ht="180" x14ac:dyDescent="0.25">
      <c r="A164">
        <v>3</v>
      </c>
      <c r="B164" s="67" t="s">
        <v>1294</v>
      </c>
      <c r="C164" s="108">
        <v>43506</v>
      </c>
      <c r="D164" s="67" t="s">
        <v>183</v>
      </c>
      <c r="E164" s="67" t="s">
        <v>1295</v>
      </c>
      <c r="F164" s="67" t="s">
        <v>1296</v>
      </c>
      <c r="G164" s="67" t="s">
        <v>384</v>
      </c>
      <c r="H164" s="67" t="s">
        <v>5</v>
      </c>
      <c r="I164" s="67" t="s">
        <v>53</v>
      </c>
      <c r="J164" s="67" t="s">
        <v>139</v>
      </c>
      <c r="K164" s="67" t="s">
        <v>1297</v>
      </c>
      <c r="L164" s="67" t="s">
        <v>71</v>
      </c>
      <c r="M164" s="67" t="s">
        <v>111</v>
      </c>
      <c r="N164" s="67" t="s">
        <v>141</v>
      </c>
      <c r="O164" s="67" t="s">
        <v>142</v>
      </c>
      <c r="P164" s="67" t="s">
        <v>1298</v>
      </c>
      <c r="Q164" s="67" t="s">
        <v>1299</v>
      </c>
      <c r="R164" s="67" t="s">
        <v>170</v>
      </c>
      <c r="S164" s="67" t="s">
        <v>158</v>
      </c>
      <c r="T164" s="67" t="s">
        <v>170</v>
      </c>
      <c r="U164" s="67"/>
      <c r="V164" s="67" t="s">
        <v>170</v>
      </c>
      <c r="W164" s="67" t="s">
        <v>58</v>
      </c>
      <c r="X164" s="67" t="s">
        <v>170</v>
      </c>
      <c r="Y164" s="67" t="s">
        <v>170</v>
      </c>
    </row>
    <row r="165" spans="1:27" ht="135" x14ac:dyDescent="0.25">
      <c r="A165">
        <v>4</v>
      </c>
      <c r="B165" s="67" t="s">
        <v>1300</v>
      </c>
      <c r="C165" s="108">
        <v>43520</v>
      </c>
      <c r="D165" s="67" t="s">
        <v>183</v>
      </c>
      <c r="E165" s="67" t="s">
        <v>1301</v>
      </c>
      <c r="F165" s="67" t="s">
        <v>3</v>
      </c>
      <c r="G165" s="67" t="s">
        <v>3</v>
      </c>
      <c r="H165" s="67" t="s">
        <v>3</v>
      </c>
      <c r="I165" s="67" t="s">
        <v>3</v>
      </c>
      <c r="J165" s="67" t="s">
        <v>3</v>
      </c>
      <c r="K165" s="67" t="s">
        <v>3</v>
      </c>
      <c r="L165" s="67" t="s">
        <v>3</v>
      </c>
      <c r="M165" s="67" t="s">
        <v>3</v>
      </c>
      <c r="N165" s="67" t="s">
        <v>3</v>
      </c>
      <c r="O165" s="67" t="s">
        <v>3</v>
      </c>
      <c r="P165" s="67" t="s">
        <v>1302</v>
      </c>
      <c r="Q165" s="67" t="s">
        <v>1303</v>
      </c>
      <c r="R165" s="67" t="s">
        <v>157</v>
      </c>
      <c r="S165" s="67" t="s">
        <v>145</v>
      </c>
      <c r="T165" s="67" t="s">
        <v>170</v>
      </c>
      <c r="U165" s="67"/>
      <c r="V165" s="67" t="s">
        <v>145</v>
      </c>
      <c r="W165" s="67" t="s">
        <v>158</v>
      </c>
      <c r="X165" s="67" t="s">
        <v>157</v>
      </c>
      <c r="Y165" s="67" t="s">
        <v>170</v>
      </c>
    </row>
    <row r="166" spans="1:27" ht="180" x14ac:dyDescent="0.25">
      <c r="A166">
        <v>5</v>
      </c>
      <c r="B166" s="67" t="s">
        <v>1304</v>
      </c>
      <c r="C166" s="108">
        <v>43514</v>
      </c>
      <c r="D166" s="67" t="s">
        <v>1305</v>
      </c>
      <c r="E166" s="67" t="s">
        <v>1306</v>
      </c>
      <c r="F166" s="67" t="s">
        <v>1307</v>
      </c>
      <c r="G166" s="67" t="s">
        <v>1308</v>
      </c>
      <c r="H166" s="67" t="s">
        <v>18</v>
      </c>
      <c r="I166" s="67" t="s">
        <v>50</v>
      </c>
      <c r="J166" s="67" t="s">
        <v>139</v>
      </c>
      <c r="K166" s="67" t="s">
        <v>1309</v>
      </c>
      <c r="L166" s="67" t="s">
        <v>71</v>
      </c>
      <c r="M166" s="67" t="s">
        <v>111</v>
      </c>
      <c r="N166" s="67" t="s">
        <v>141</v>
      </c>
      <c r="O166" s="67" t="s">
        <v>142</v>
      </c>
      <c r="P166" s="67" t="s">
        <v>1310</v>
      </c>
      <c r="Q166" s="67" t="s">
        <v>1311</v>
      </c>
      <c r="R166" s="67" t="s">
        <v>157</v>
      </c>
      <c r="S166" s="67" t="s">
        <v>170</v>
      </c>
      <c r="T166" s="67" t="s">
        <v>157</v>
      </c>
      <c r="U166" s="67" t="s">
        <v>157</v>
      </c>
      <c r="V166" s="67" t="s">
        <v>157</v>
      </c>
      <c r="W166" s="67" t="s">
        <v>88</v>
      </c>
      <c r="X166" s="67" t="s">
        <v>157</v>
      </c>
      <c r="Y166" s="67" t="s">
        <v>170</v>
      </c>
      <c r="Z166" s="107" t="s">
        <v>1312</v>
      </c>
      <c r="AA166" t="s">
        <v>1313</v>
      </c>
    </row>
    <row r="167" spans="1:27" ht="409.5" x14ac:dyDescent="0.25">
      <c r="A167">
        <v>6</v>
      </c>
      <c r="B167" s="67" t="s">
        <v>1314</v>
      </c>
      <c r="C167" s="108">
        <v>43516</v>
      </c>
      <c r="D167" s="67" t="s">
        <v>1315</v>
      </c>
      <c r="E167" s="67" t="s">
        <v>1316</v>
      </c>
      <c r="F167" s="67" t="s">
        <v>1317</v>
      </c>
      <c r="G167" s="67" t="s">
        <v>1024</v>
      </c>
      <c r="H167" s="67" t="s">
        <v>14</v>
      </c>
      <c r="I167" s="67" t="s">
        <v>51</v>
      </c>
      <c r="J167" s="67" t="s">
        <v>139</v>
      </c>
      <c r="K167" s="67" t="s">
        <v>1318</v>
      </c>
      <c r="L167" s="67" t="s">
        <v>71</v>
      </c>
      <c r="M167" s="67" t="s">
        <v>111</v>
      </c>
      <c r="N167" s="67" t="s">
        <v>141</v>
      </c>
      <c r="O167" s="67" t="s">
        <v>142</v>
      </c>
      <c r="P167" s="67" t="s">
        <v>1319</v>
      </c>
      <c r="Q167" s="67" t="s">
        <v>1320</v>
      </c>
      <c r="R167" s="67" t="s">
        <v>157</v>
      </c>
      <c r="S167" s="67" t="s">
        <v>157</v>
      </c>
      <c r="T167" s="67" t="s">
        <v>170</v>
      </c>
      <c r="U167" s="67" t="s">
        <v>157</v>
      </c>
      <c r="V167" s="67" t="s">
        <v>157</v>
      </c>
      <c r="W167" s="67" t="s">
        <v>85</v>
      </c>
      <c r="X167" s="67" t="s">
        <v>157</v>
      </c>
      <c r="Y167" s="67" t="s">
        <v>170</v>
      </c>
      <c r="Z167" s="107" t="s">
        <v>1321</v>
      </c>
      <c r="AA167" s="67" t="s">
        <v>1322</v>
      </c>
    </row>
    <row r="168" spans="1:27" ht="180" x14ac:dyDescent="0.25">
      <c r="A168">
        <v>7</v>
      </c>
      <c r="B168" s="67" t="s">
        <v>1323</v>
      </c>
      <c r="C168" s="108">
        <v>43519</v>
      </c>
      <c r="D168" s="67" t="s">
        <v>1324</v>
      </c>
      <c r="E168" s="67" t="s">
        <v>1325</v>
      </c>
      <c r="F168" s="67" t="s">
        <v>927</v>
      </c>
      <c r="G168" s="67" t="s">
        <v>928</v>
      </c>
      <c r="H168" s="67" t="s">
        <v>8</v>
      </c>
      <c r="I168" s="67" t="s">
        <v>52</v>
      </c>
      <c r="J168" s="67" t="s">
        <v>139</v>
      </c>
      <c r="K168" s="67" t="s">
        <v>1326</v>
      </c>
      <c r="L168" s="67" t="s">
        <v>71</v>
      </c>
      <c r="M168" s="67" t="s">
        <v>111</v>
      </c>
      <c r="N168" s="67" t="s">
        <v>141</v>
      </c>
      <c r="O168" s="67" t="s">
        <v>248</v>
      </c>
      <c r="P168" s="67" t="s">
        <v>1327</v>
      </c>
      <c r="Q168" s="67" t="s">
        <v>1328</v>
      </c>
      <c r="R168" s="67" t="s">
        <v>158</v>
      </c>
      <c r="S168" s="67" t="s">
        <v>145</v>
      </c>
      <c r="T168" s="67" t="s">
        <v>145</v>
      </c>
      <c r="U168" s="67"/>
      <c r="V168" s="67" t="s">
        <v>145</v>
      </c>
      <c r="W168" s="67" t="s">
        <v>145</v>
      </c>
      <c r="X168" s="67" t="s">
        <v>157</v>
      </c>
      <c r="Y168" s="67" t="s">
        <v>1329</v>
      </c>
    </row>
    <row r="169" spans="1:27" ht="409.5" x14ac:dyDescent="0.25">
      <c r="A169">
        <v>8</v>
      </c>
      <c r="B169" s="67" t="s">
        <v>1330</v>
      </c>
      <c r="C169" s="108">
        <v>43555</v>
      </c>
      <c r="D169" s="67" t="s">
        <v>1331</v>
      </c>
      <c r="E169" s="67" t="s">
        <v>1332</v>
      </c>
      <c r="F169" s="67" t="s">
        <v>1333</v>
      </c>
      <c r="G169" s="67" t="s">
        <v>1334</v>
      </c>
      <c r="H169" s="67" t="s">
        <v>5</v>
      </c>
      <c r="I169" s="67" t="s">
        <v>53</v>
      </c>
      <c r="J169" s="67" t="s">
        <v>139</v>
      </c>
      <c r="K169" s="67" t="s">
        <v>1335</v>
      </c>
      <c r="L169" s="67" t="s">
        <v>71</v>
      </c>
      <c r="M169" s="67" t="s">
        <v>111</v>
      </c>
      <c r="N169" s="67" t="s">
        <v>306</v>
      </c>
      <c r="O169" s="67" t="s">
        <v>248</v>
      </c>
      <c r="P169" s="67" t="s">
        <v>1336</v>
      </c>
      <c r="Q169" s="67" t="s">
        <v>1337</v>
      </c>
      <c r="R169" s="67" t="s">
        <v>170</v>
      </c>
      <c r="S169" s="67" t="s">
        <v>157</v>
      </c>
      <c r="T169" s="67" t="s">
        <v>170</v>
      </c>
      <c r="U169" s="67"/>
      <c r="V169" s="67"/>
      <c r="W169" s="67" t="s">
        <v>1338</v>
      </c>
      <c r="X169" s="67" t="s">
        <v>157</v>
      </c>
      <c r="Y169" s="67" t="s">
        <v>170</v>
      </c>
    </row>
    <row r="170" spans="1:27" ht="120" x14ac:dyDescent="0.25">
      <c r="A170">
        <v>9</v>
      </c>
      <c r="B170" s="67" t="s">
        <v>1339</v>
      </c>
      <c r="C170" s="108">
        <v>43558</v>
      </c>
      <c r="D170" s="67" t="s">
        <v>1340</v>
      </c>
      <c r="E170" s="67" t="s">
        <v>1341</v>
      </c>
      <c r="F170" s="67" t="s">
        <v>1342</v>
      </c>
      <c r="G170" s="67" t="s">
        <v>1342</v>
      </c>
      <c r="H170" s="67" t="s">
        <v>1342</v>
      </c>
      <c r="I170" s="67" t="s">
        <v>1342</v>
      </c>
      <c r="J170" s="67" t="s">
        <v>1342</v>
      </c>
      <c r="K170" s="67" t="s">
        <v>1342</v>
      </c>
      <c r="L170" s="67" t="s">
        <v>1342</v>
      </c>
      <c r="M170" s="67" t="s">
        <v>1342</v>
      </c>
      <c r="N170" s="67" t="s">
        <v>1342</v>
      </c>
      <c r="O170" s="67" t="s">
        <v>1342</v>
      </c>
      <c r="P170" s="67" t="s">
        <v>1343</v>
      </c>
      <c r="Q170" s="67" t="s">
        <v>1344</v>
      </c>
      <c r="R170" s="67" t="s">
        <v>158</v>
      </c>
      <c r="S170" s="67" t="s">
        <v>145</v>
      </c>
      <c r="T170" s="67" t="s">
        <v>145</v>
      </c>
      <c r="U170" s="67"/>
      <c r="V170" s="67" t="s">
        <v>145</v>
      </c>
      <c r="W170" s="67" t="s">
        <v>145</v>
      </c>
      <c r="X170" s="67" t="s">
        <v>157</v>
      </c>
      <c r="Y170" s="67" t="s">
        <v>145</v>
      </c>
    </row>
    <row r="171" spans="1:27" ht="225" x14ac:dyDescent="0.25">
      <c r="A171">
        <v>10</v>
      </c>
      <c r="B171" s="67" t="s">
        <v>1345</v>
      </c>
      <c r="C171" s="108">
        <v>43565</v>
      </c>
      <c r="D171" s="67" t="s">
        <v>1346</v>
      </c>
      <c r="E171" s="67" t="s">
        <v>1347</v>
      </c>
      <c r="F171" s="67" t="s">
        <v>1348</v>
      </c>
      <c r="G171" s="67" t="s">
        <v>1349</v>
      </c>
      <c r="H171" s="67" t="s">
        <v>11</v>
      </c>
      <c r="I171" s="67" t="s">
        <v>53</v>
      </c>
      <c r="J171" s="67" t="s">
        <v>139</v>
      </c>
      <c r="K171" s="67" t="s">
        <v>140</v>
      </c>
      <c r="L171" s="67" t="s">
        <v>71</v>
      </c>
      <c r="M171" s="67" t="s">
        <v>111</v>
      </c>
      <c r="N171" s="67" t="s">
        <v>141</v>
      </c>
      <c r="O171" s="67" t="s">
        <v>142</v>
      </c>
      <c r="P171" s="67" t="s">
        <v>1350</v>
      </c>
      <c r="Q171" s="67" t="s">
        <v>1351</v>
      </c>
      <c r="R171" s="67" t="s">
        <v>170</v>
      </c>
      <c r="S171" s="67" t="s">
        <v>145</v>
      </c>
      <c r="T171" s="67" t="s">
        <v>170</v>
      </c>
      <c r="U171" s="67"/>
      <c r="V171" s="67" t="s">
        <v>170</v>
      </c>
      <c r="W171" s="67" t="s">
        <v>170</v>
      </c>
      <c r="X171" s="67" t="s">
        <v>170</v>
      </c>
      <c r="Y171" s="67" t="s">
        <v>170</v>
      </c>
    </row>
    <row r="172" spans="1:27" ht="105" x14ac:dyDescent="0.25">
      <c r="A172">
        <v>11</v>
      </c>
      <c r="B172" s="67" t="s">
        <v>1352</v>
      </c>
      <c r="C172" s="108">
        <v>43565</v>
      </c>
      <c r="D172" s="67" t="s">
        <v>1353</v>
      </c>
      <c r="E172" s="67" t="s">
        <v>1354</v>
      </c>
      <c r="F172" s="67" t="s">
        <v>1355</v>
      </c>
      <c r="G172" s="67" t="s">
        <v>1356</v>
      </c>
      <c r="H172" s="67" t="s">
        <v>24</v>
      </c>
      <c r="I172" s="67" t="s">
        <v>50</v>
      </c>
      <c r="J172" s="67" t="s">
        <v>139</v>
      </c>
      <c r="K172" s="67" t="s">
        <v>1357</v>
      </c>
      <c r="L172" s="67" t="s">
        <v>71</v>
      </c>
      <c r="M172" s="67" t="s">
        <v>111</v>
      </c>
      <c r="N172" s="67" t="s">
        <v>141</v>
      </c>
      <c r="O172" s="67" t="s">
        <v>142</v>
      </c>
      <c r="P172" s="67" t="s">
        <v>1358</v>
      </c>
      <c r="Q172" s="67" t="s">
        <v>1359</v>
      </c>
      <c r="R172" s="67" t="s">
        <v>170</v>
      </c>
      <c r="S172" s="67" t="s">
        <v>145</v>
      </c>
      <c r="T172" s="67" t="s">
        <v>170</v>
      </c>
      <c r="U172" s="67"/>
      <c r="V172" s="67" t="s">
        <v>170</v>
      </c>
      <c r="W172" s="67" t="s">
        <v>170</v>
      </c>
      <c r="X172" s="67" t="s">
        <v>170</v>
      </c>
      <c r="Y172" s="67" t="s">
        <v>170</v>
      </c>
    </row>
    <row r="173" spans="1:27" ht="240" x14ac:dyDescent="0.25">
      <c r="A173">
        <v>12</v>
      </c>
      <c r="B173" s="67" t="s">
        <v>1360</v>
      </c>
      <c r="C173" s="108">
        <v>43566</v>
      </c>
      <c r="D173" s="67" t="s">
        <v>1361</v>
      </c>
      <c r="E173" s="67" t="s">
        <v>1362</v>
      </c>
      <c r="F173" s="67" t="s">
        <v>1296</v>
      </c>
      <c r="G173" s="67" t="s">
        <v>384</v>
      </c>
      <c r="H173" s="67" t="s">
        <v>5</v>
      </c>
      <c r="I173" s="67" t="s">
        <v>53</v>
      </c>
      <c r="J173" s="67" t="s">
        <v>139</v>
      </c>
      <c r="K173" s="67" t="s">
        <v>140</v>
      </c>
      <c r="L173" s="67" t="s">
        <v>71</v>
      </c>
      <c r="M173" s="67" t="s">
        <v>111</v>
      </c>
      <c r="N173" s="67" t="s">
        <v>141</v>
      </c>
      <c r="O173" s="67" t="s">
        <v>142</v>
      </c>
      <c r="P173" s="67" t="s">
        <v>1363</v>
      </c>
      <c r="Q173" s="67" t="s">
        <v>1364</v>
      </c>
      <c r="R173" s="67" t="s">
        <v>170</v>
      </c>
      <c r="S173" s="67" t="s">
        <v>170</v>
      </c>
      <c r="T173" s="67" t="s">
        <v>145</v>
      </c>
      <c r="U173" s="67" t="s">
        <v>157</v>
      </c>
      <c r="V173" s="67" t="s">
        <v>157</v>
      </c>
      <c r="W173" s="67" t="s">
        <v>61</v>
      </c>
      <c r="X173" s="67" t="s">
        <v>157</v>
      </c>
      <c r="Y173" s="67" t="s">
        <v>170</v>
      </c>
      <c r="Z173" s="107" t="s">
        <v>1365</v>
      </c>
      <c r="AA173" s="67" t="s">
        <v>1366</v>
      </c>
    </row>
    <row r="174" spans="1:27" ht="330" x14ac:dyDescent="0.25">
      <c r="A174">
        <v>13</v>
      </c>
      <c r="B174" s="67" t="s">
        <v>1367</v>
      </c>
      <c r="C174" s="108">
        <v>43568</v>
      </c>
      <c r="D174" s="67" t="s">
        <v>1368</v>
      </c>
      <c r="E174" s="67" t="s">
        <v>1369</v>
      </c>
      <c r="F174" s="67" t="s">
        <v>1370</v>
      </c>
      <c r="G174" s="67" t="s">
        <v>1371</v>
      </c>
      <c r="H174" s="67" t="s">
        <v>5</v>
      </c>
      <c r="I174" s="67" t="s">
        <v>53</v>
      </c>
      <c r="J174" s="67" t="s">
        <v>139</v>
      </c>
      <c r="K174" s="67" t="s">
        <v>1372</v>
      </c>
      <c r="L174" s="67" t="s">
        <v>71</v>
      </c>
      <c r="M174" s="67" t="s">
        <v>111</v>
      </c>
      <c r="N174" s="67" t="s">
        <v>141</v>
      </c>
      <c r="O174" s="67" t="s">
        <v>142</v>
      </c>
      <c r="P174" s="67" t="s">
        <v>1373</v>
      </c>
      <c r="Q174" s="67" t="s">
        <v>1374</v>
      </c>
      <c r="R174" s="67" t="s">
        <v>145</v>
      </c>
      <c r="S174" s="67" t="s">
        <v>145</v>
      </c>
      <c r="T174" s="67" t="s">
        <v>145</v>
      </c>
      <c r="U174" s="67"/>
      <c r="V174" s="67" t="s">
        <v>145</v>
      </c>
      <c r="W174" s="67" t="s">
        <v>158</v>
      </c>
      <c r="X174" s="67" t="s">
        <v>157</v>
      </c>
      <c r="Y174" s="67" t="s">
        <v>170</v>
      </c>
    </row>
    <row r="175" spans="1:27" ht="409.5" x14ac:dyDescent="0.25">
      <c r="A175">
        <v>14</v>
      </c>
      <c r="B175" s="67" t="s">
        <v>1375</v>
      </c>
      <c r="C175" s="108">
        <v>43573</v>
      </c>
      <c r="D175" s="67" t="s">
        <v>1376</v>
      </c>
      <c r="E175" s="67" t="s">
        <v>1377</v>
      </c>
      <c r="F175" s="67" t="s">
        <v>1342</v>
      </c>
      <c r="G175" s="67" t="s">
        <v>1342</v>
      </c>
      <c r="H175" s="67" t="s">
        <v>1342</v>
      </c>
      <c r="I175" s="67" t="s">
        <v>1342</v>
      </c>
      <c r="J175" s="67" t="s">
        <v>1342</v>
      </c>
      <c r="K175" s="67" t="s">
        <v>1342</v>
      </c>
      <c r="L175" s="67" t="s">
        <v>1342</v>
      </c>
      <c r="M175" s="67" t="s">
        <v>1342</v>
      </c>
      <c r="N175" s="67" t="s">
        <v>1342</v>
      </c>
      <c r="O175" s="67" t="s">
        <v>1342</v>
      </c>
      <c r="P175" s="67" t="s">
        <v>1378</v>
      </c>
      <c r="Q175" s="67" t="s">
        <v>1379</v>
      </c>
      <c r="R175" s="67" t="s">
        <v>145</v>
      </c>
      <c r="S175" s="67" t="s">
        <v>145</v>
      </c>
      <c r="T175" s="67" t="s">
        <v>157</v>
      </c>
      <c r="U175" s="67"/>
      <c r="V175" s="67" t="s">
        <v>145</v>
      </c>
      <c r="W175" s="67" t="s">
        <v>145</v>
      </c>
      <c r="X175" s="67" t="s">
        <v>157</v>
      </c>
      <c r="Y175" s="67" t="s">
        <v>1376</v>
      </c>
    </row>
    <row r="176" spans="1:27" ht="285" x14ac:dyDescent="0.25">
      <c r="A176">
        <v>15</v>
      </c>
      <c r="B176" s="67" t="s">
        <v>1380</v>
      </c>
      <c r="C176" s="108">
        <v>43589</v>
      </c>
      <c r="D176" s="67" t="s">
        <v>1381</v>
      </c>
      <c r="E176" s="67" t="s">
        <v>1382</v>
      </c>
      <c r="F176" s="67" t="s">
        <v>1296</v>
      </c>
      <c r="G176" s="67" t="s">
        <v>384</v>
      </c>
      <c r="H176" s="67" t="s">
        <v>5</v>
      </c>
      <c r="I176" s="67" t="s">
        <v>53</v>
      </c>
      <c r="J176" s="67" t="s">
        <v>139</v>
      </c>
      <c r="K176" s="67" t="s">
        <v>1383</v>
      </c>
      <c r="L176" s="67" t="s">
        <v>71</v>
      </c>
      <c r="M176" s="67" t="s">
        <v>111</v>
      </c>
      <c r="N176" s="67" t="s">
        <v>141</v>
      </c>
      <c r="O176" s="67" t="s">
        <v>142</v>
      </c>
      <c r="P176" s="67" t="s">
        <v>1384</v>
      </c>
      <c r="Q176" s="67" t="s">
        <v>1385</v>
      </c>
      <c r="R176" s="67" t="s">
        <v>170</v>
      </c>
      <c r="S176" s="67" t="s">
        <v>170</v>
      </c>
      <c r="T176" s="67" t="s">
        <v>170</v>
      </c>
      <c r="U176" s="67"/>
      <c r="V176" s="67" t="s">
        <v>170</v>
      </c>
      <c r="W176" s="67" t="s">
        <v>170</v>
      </c>
      <c r="X176" s="67" t="s">
        <v>170</v>
      </c>
      <c r="Y176" s="67" t="s">
        <v>170</v>
      </c>
    </row>
    <row r="177" spans="1:27" ht="210" x14ac:dyDescent="0.25">
      <c r="A177">
        <v>16</v>
      </c>
      <c r="B177" s="67" t="s">
        <v>1386</v>
      </c>
      <c r="C177" s="108">
        <v>43589</v>
      </c>
      <c r="D177" s="67" t="s">
        <v>1387</v>
      </c>
      <c r="E177" s="67" t="s">
        <v>1388</v>
      </c>
      <c r="F177" s="67" t="s">
        <v>1389</v>
      </c>
      <c r="G177" s="67" t="s">
        <v>1390</v>
      </c>
      <c r="H177" s="67" t="s">
        <v>14</v>
      </c>
      <c r="I177" s="67" t="s">
        <v>51</v>
      </c>
      <c r="J177" s="67" t="s">
        <v>139</v>
      </c>
      <c r="K177" s="67" t="s">
        <v>1391</v>
      </c>
      <c r="L177" s="67" t="s">
        <v>71</v>
      </c>
      <c r="M177" s="67" t="s">
        <v>111</v>
      </c>
      <c r="N177" s="67" t="s">
        <v>523</v>
      </c>
      <c r="O177" s="67" t="s">
        <v>248</v>
      </c>
      <c r="P177" s="67" t="s">
        <v>1392</v>
      </c>
      <c r="Q177" s="67" t="s">
        <v>1393</v>
      </c>
      <c r="R177" s="67" t="s">
        <v>170</v>
      </c>
      <c r="S177" s="67" t="s">
        <v>170</v>
      </c>
      <c r="T177" s="67" t="s">
        <v>170</v>
      </c>
      <c r="U177" s="67"/>
      <c r="V177" s="67" t="s">
        <v>170</v>
      </c>
      <c r="W177" s="67" t="s">
        <v>170</v>
      </c>
      <c r="X177" s="67" t="s">
        <v>157</v>
      </c>
      <c r="Y177" s="67" t="s">
        <v>1394</v>
      </c>
    </row>
    <row r="178" spans="1:27" ht="270" x14ac:dyDescent="0.25">
      <c r="A178">
        <v>17</v>
      </c>
      <c r="B178" s="67" t="s">
        <v>1395</v>
      </c>
      <c r="C178" s="108">
        <v>43590</v>
      </c>
      <c r="D178" s="67" t="s">
        <v>1396</v>
      </c>
      <c r="E178" s="67" t="s">
        <v>1397</v>
      </c>
      <c r="F178" s="67" t="s">
        <v>214</v>
      </c>
      <c r="G178" s="67" t="s">
        <v>215</v>
      </c>
      <c r="H178" s="67" t="s">
        <v>5</v>
      </c>
      <c r="I178" s="67" t="s">
        <v>53</v>
      </c>
      <c r="J178" s="67" t="s">
        <v>139</v>
      </c>
      <c r="K178" s="67" t="s">
        <v>1398</v>
      </c>
      <c r="L178" s="67" t="s">
        <v>71</v>
      </c>
      <c r="M178" s="67" t="s">
        <v>111</v>
      </c>
      <c r="N178" s="67" t="s">
        <v>141</v>
      </c>
      <c r="O178" s="67" t="s">
        <v>142</v>
      </c>
      <c r="P178" s="67" t="s">
        <v>1399</v>
      </c>
      <c r="Q178" s="67" t="s">
        <v>1400</v>
      </c>
      <c r="R178" s="67" t="s">
        <v>145</v>
      </c>
      <c r="S178" s="67" t="s">
        <v>170</v>
      </c>
      <c r="T178" s="67" t="s">
        <v>145</v>
      </c>
      <c r="U178" s="67" t="s">
        <v>157</v>
      </c>
      <c r="V178" s="67" t="s">
        <v>310</v>
      </c>
      <c r="W178" s="67" t="s">
        <v>61</v>
      </c>
      <c r="X178" s="67" t="s">
        <v>157</v>
      </c>
      <c r="Y178" s="67" t="s">
        <v>170</v>
      </c>
      <c r="Z178" s="110" t="s">
        <v>1401</v>
      </c>
      <c r="AA178" s="67" t="s">
        <v>220</v>
      </c>
    </row>
    <row r="179" spans="1:27" ht="165" x14ac:dyDescent="0.25">
      <c r="A179">
        <v>18</v>
      </c>
      <c r="B179" s="67" t="s">
        <v>1402</v>
      </c>
      <c r="C179" s="108">
        <v>43593</v>
      </c>
      <c r="D179" s="67" t="s">
        <v>1403</v>
      </c>
      <c r="E179" s="67" t="s">
        <v>1404</v>
      </c>
      <c r="F179" s="67" t="s">
        <v>1405</v>
      </c>
      <c r="G179" s="67" t="s">
        <v>642</v>
      </c>
      <c r="H179" s="67" t="s">
        <v>54</v>
      </c>
      <c r="I179" s="67" t="s">
        <v>54</v>
      </c>
      <c r="J179" s="67" t="s">
        <v>643</v>
      </c>
      <c r="K179" s="67" t="s">
        <v>1124</v>
      </c>
      <c r="L179" s="67" t="s">
        <v>71</v>
      </c>
      <c r="M179" s="67" t="s">
        <v>111</v>
      </c>
      <c r="N179" s="67" t="s">
        <v>141</v>
      </c>
      <c r="O179" s="67" t="s">
        <v>142</v>
      </c>
      <c r="P179" s="67" t="s">
        <v>1406</v>
      </c>
      <c r="Q179" s="67" t="s">
        <v>1407</v>
      </c>
      <c r="R179" s="67" t="s">
        <v>145</v>
      </c>
      <c r="S179" s="67" t="s">
        <v>170</v>
      </c>
      <c r="T179" s="67" t="s">
        <v>170</v>
      </c>
      <c r="U179" s="67"/>
      <c r="V179" s="67" t="s">
        <v>170</v>
      </c>
      <c r="W179" s="67" t="s">
        <v>170</v>
      </c>
      <c r="X179" s="67" t="s">
        <v>170</v>
      </c>
      <c r="Y179" s="67" t="s">
        <v>170</v>
      </c>
    </row>
    <row r="180" spans="1:27" ht="360" x14ac:dyDescent="0.25">
      <c r="A180">
        <v>19</v>
      </c>
      <c r="B180" s="67" t="s">
        <v>1408</v>
      </c>
      <c r="C180" s="108">
        <v>43603</v>
      </c>
      <c r="D180" s="67" t="s">
        <v>1409</v>
      </c>
      <c r="E180" s="67" t="s">
        <v>1410</v>
      </c>
      <c r="F180" s="67" t="s">
        <v>1411</v>
      </c>
      <c r="G180" s="67" t="s">
        <v>1412</v>
      </c>
      <c r="H180" s="67" t="s">
        <v>10</v>
      </c>
      <c r="I180" s="67" t="s">
        <v>807</v>
      </c>
      <c r="J180" s="67" t="s">
        <v>139</v>
      </c>
      <c r="K180" s="67" t="s">
        <v>1154</v>
      </c>
      <c r="L180" s="67" t="s">
        <v>71</v>
      </c>
      <c r="M180" s="67" t="s">
        <v>111</v>
      </c>
      <c r="N180" s="67" t="s">
        <v>141</v>
      </c>
      <c r="O180" s="67" t="s">
        <v>142</v>
      </c>
      <c r="P180" s="67" t="s">
        <v>1413</v>
      </c>
      <c r="Q180" s="67" t="s">
        <v>1414</v>
      </c>
      <c r="R180" s="67" t="s">
        <v>157</v>
      </c>
      <c r="S180" s="67" t="s">
        <v>157</v>
      </c>
      <c r="T180" s="67" t="s">
        <v>170</v>
      </c>
      <c r="U180" s="67" t="s">
        <v>157</v>
      </c>
      <c r="V180" s="67" t="s">
        <v>157</v>
      </c>
      <c r="W180" s="67" t="s">
        <v>61</v>
      </c>
      <c r="X180" s="67" t="s">
        <v>170</v>
      </c>
      <c r="Y180" s="67" t="s">
        <v>170</v>
      </c>
      <c r="Z180" s="107" t="s">
        <v>1415</v>
      </c>
      <c r="AA180" s="67" t="s">
        <v>1416</v>
      </c>
    </row>
    <row r="181" spans="1:27" ht="165" x14ac:dyDescent="0.25">
      <c r="A181">
        <v>20</v>
      </c>
      <c r="B181" s="67" t="s">
        <v>1417</v>
      </c>
      <c r="C181" s="108">
        <v>43607</v>
      </c>
      <c r="D181" s="67" t="s">
        <v>1418</v>
      </c>
      <c r="E181" s="67" t="s">
        <v>3</v>
      </c>
      <c r="F181" s="67" t="s">
        <v>3</v>
      </c>
      <c r="G181" s="67" t="s">
        <v>3</v>
      </c>
      <c r="H181" s="67" t="s">
        <v>3</v>
      </c>
      <c r="I181" s="67" t="s">
        <v>3</v>
      </c>
      <c r="J181" s="67" t="s">
        <v>3</v>
      </c>
      <c r="K181" s="67" t="s">
        <v>3</v>
      </c>
      <c r="L181" s="67" t="s">
        <v>3</v>
      </c>
      <c r="M181" s="67" t="s">
        <v>3</v>
      </c>
      <c r="N181" s="67" t="s">
        <v>3</v>
      </c>
      <c r="O181" s="67" t="s">
        <v>3</v>
      </c>
      <c r="P181" s="67" t="s">
        <v>1419</v>
      </c>
      <c r="Q181" s="67" t="s">
        <v>1420</v>
      </c>
      <c r="R181" s="67" t="s">
        <v>170</v>
      </c>
      <c r="S181" s="67" t="s">
        <v>170</v>
      </c>
      <c r="T181" s="67" t="s">
        <v>170</v>
      </c>
      <c r="U181" s="67"/>
      <c r="V181" s="67" t="s">
        <v>170</v>
      </c>
      <c r="W181" s="67" t="s">
        <v>170</v>
      </c>
      <c r="X181" s="67" t="s">
        <v>170</v>
      </c>
      <c r="Y181" s="67" t="s">
        <v>170</v>
      </c>
    </row>
    <row r="182" spans="1:27" ht="240" x14ac:dyDescent="0.25">
      <c r="A182">
        <v>21</v>
      </c>
      <c r="B182" s="67" t="s">
        <v>1421</v>
      </c>
      <c r="C182" s="108">
        <v>43610</v>
      </c>
      <c r="D182" s="67" t="s">
        <v>1422</v>
      </c>
      <c r="E182" s="67" t="s">
        <v>1423</v>
      </c>
      <c r="F182" s="67" t="s">
        <v>1424</v>
      </c>
      <c r="G182" s="67" t="s">
        <v>1425</v>
      </c>
      <c r="H182" s="67" t="s">
        <v>10</v>
      </c>
      <c r="I182" s="67" t="s">
        <v>807</v>
      </c>
      <c r="J182" s="67" t="s">
        <v>139</v>
      </c>
      <c r="K182" s="67" t="s">
        <v>1426</v>
      </c>
      <c r="L182" s="67" t="s">
        <v>71</v>
      </c>
      <c r="M182" s="67" t="s">
        <v>111</v>
      </c>
      <c r="N182" s="67" t="s">
        <v>523</v>
      </c>
      <c r="O182" s="67" t="s">
        <v>248</v>
      </c>
      <c r="P182" s="67" t="s">
        <v>1427</v>
      </c>
      <c r="Q182" s="67" t="s">
        <v>1428</v>
      </c>
      <c r="R182" s="67" t="s">
        <v>157</v>
      </c>
      <c r="S182" s="67" t="s">
        <v>157</v>
      </c>
      <c r="T182" s="67" t="s">
        <v>170</v>
      </c>
      <c r="U182" s="67" t="s">
        <v>157</v>
      </c>
      <c r="V182" s="67" t="s">
        <v>157</v>
      </c>
      <c r="W182" s="67" t="s">
        <v>89</v>
      </c>
      <c r="X182" s="67" t="s">
        <v>157</v>
      </c>
      <c r="Y182" s="67" t="s">
        <v>1429</v>
      </c>
      <c r="Z182" s="120" t="s">
        <v>1430</v>
      </c>
      <c r="AA182" s="107" t="s">
        <v>1431</v>
      </c>
    </row>
    <row r="183" spans="1:27" ht="240" x14ac:dyDescent="0.25">
      <c r="A183">
        <v>22</v>
      </c>
      <c r="B183" s="67" t="s">
        <v>1432</v>
      </c>
      <c r="C183" s="108">
        <v>43611</v>
      </c>
      <c r="D183" s="67" t="s">
        <v>1433</v>
      </c>
      <c r="E183" s="67" t="s">
        <v>1434</v>
      </c>
      <c r="F183" s="67" t="s">
        <v>1435</v>
      </c>
      <c r="G183" s="67" t="s">
        <v>398</v>
      </c>
      <c r="H183" s="67" t="s">
        <v>5</v>
      </c>
      <c r="I183" s="67" t="s">
        <v>53</v>
      </c>
      <c r="J183" s="67" t="s">
        <v>139</v>
      </c>
      <c r="K183" s="67" t="s">
        <v>1436</v>
      </c>
      <c r="L183" s="67" t="s">
        <v>71</v>
      </c>
      <c r="M183" s="67" t="s">
        <v>111</v>
      </c>
      <c r="N183" s="67" t="s">
        <v>141</v>
      </c>
      <c r="O183" s="67" t="s">
        <v>142</v>
      </c>
      <c r="P183" s="67" t="s">
        <v>1437</v>
      </c>
      <c r="Q183" s="67" t="s">
        <v>1438</v>
      </c>
      <c r="R183" s="67" t="s">
        <v>157</v>
      </c>
      <c r="S183" s="67" t="s">
        <v>145</v>
      </c>
      <c r="T183" s="67" t="s">
        <v>157</v>
      </c>
      <c r="U183" s="67"/>
      <c r="V183" s="67" t="s">
        <v>170</v>
      </c>
      <c r="W183" s="67" t="s">
        <v>170</v>
      </c>
      <c r="X183" s="67" t="s">
        <v>170</v>
      </c>
      <c r="Y183" s="67" t="s">
        <v>170</v>
      </c>
    </row>
    <row r="184" spans="1:27" ht="270" x14ac:dyDescent="0.25">
      <c r="A184">
        <v>23</v>
      </c>
      <c r="B184" s="67" t="s">
        <v>1439</v>
      </c>
      <c r="C184" s="108">
        <v>43614</v>
      </c>
      <c r="D184" s="67" t="s">
        <v>1440</v>
      </c>
      <c r="E184" s="67" t="s">
        <v>1441</v>
      </c>
      <c r="F184" s="67" t="s">
        <v>1442</v>
      </c>
      <c r="G184" s="67" t="s">
        <v>1443</v>
      </c>
      <c r="H184" s="67" t="s">
        <v>5</v>
      </c>
      <c r="I184" s="67" t="s">
        <v>53</v>
      </c>
      <c r="J184" s="67" t="s">
        <v>139</v>
      </c>
      <c r="K184" s="67" t="s">
        <v>1436</v>
      </c>
      <c r="L184" s="67" t="s">
        <v>71</v>
      </c>
      <c r="M184" s="67" t="s">
        <v>111</v>
      </c>
      <c r="N184" s="67" t="s">
        <v>141</v>
      </c>
      <c r="O184" s="67" t="s">
        <v>248</v>
      </c>
      <c r="P184" s="67" t="s">
        <v>1444</v>
      </c>
      <c r="Q184" s="67" t="s">
        <v>1445</v>
      </c>
      <c r="R184" s="67" t="s">
        <v>145</v>
      </c>
      <c r="S184" s="67" t="s">
        <v>157</v>
      </c>
      <c r="T184" s="67" t="s">
        <v>158</v>
      </c>
      <c r="U184" s="67"/>
      <c r="V184" s="67" t="s">
        <v>145</v>
      </c>
      <c r="W184" s="67" t="s">
        <v>145</v>
      </c>
      <c r="X184" s="67" t="s">
        <v>157</v>
      </c>
      <c r="Y184" s="67" t="s">
        <v>1446</v>
      </c>
    </row>
    <row r="185" spans="1:27" ht="195" x14ac:dyDescent="0.25">
      <c r="A185">
        <v>24</v>
      </c>
      <c r="B185" s="67" t="s">
        <v>1447</v>
      </c>
      <c r="C185" s="108">
        <v>43618</v>
      </c>
      <c r="D185" s="67" t="s">
        <v>1448</v>
      </c>
      <c r="E185" s="67" t="s">
        <v>1449</v>
      </c>
      <c r="F185" s="67" t="s">
        <v>1450</v>
      </c>
      <c r="G185" s="67" t="s">
        <v>770</v>
      </c>
      <c r="H185" s="67" t="s">
        <v>27</v>
      </c>
      <c r="I185" s="67" t="s">
        <v>51</v>
      </c>
      <c r="J185" s="67" t="s">
        <v>139</v>
      </c>
      <c r="K185" s="67" t="s">
        <v>1154</v>
      </c>
      <c r="L185" s="67" t="s">
        <v>71</v>
      </c>
      <c r="M185" s="67" t="s">
        <v>111</v>
      </c>
      <c r="N185" s="67" t="s">
        <v>141</v>
      </c>
      <c r="O185" s="67" t="s">
        <v>248</v>
      </c>
      <c r="P185" s="67" t="s">
        <v>1451</v>
      </c>
      <c r="Q185" s="67" t="s">
        <v>1452</v>
      </c>
      <c r="R185" s="67" t="s">
        <v>145</v>
      </c>
      <c r="S185" s="67" t="s">
        <v>157</v>
      </c>
      <c r="T185" s="67" t="s">
        <v>145</v>
      </c>
      <c r="U185" s="67" t="s">
        <v>157</v>
      </c>
      <c r="V185" s="67" t="s">
        <v>157</v>
      </c>
      <c r="W185" s="67" t="s">
        <v>61</v>
      </c>
      <c r="X185" s="67" t="s">
        <v>157</v>
      </c>
      <c r="Y185" s="67" t="s">
        <v>1453</v>
      </c>
      <c r="Z185" s="107" t="s">
        <v>1454</v>
      </c>
      <c r="AA185" s="107" t="s">
        <v>1455</v>
      </c>
    </row>
    <row r="186" spans="1:27" ht="270" x14ac:dyDescent="0.25">
      <c r="A186">
        <v>25</v>
      </c>
      <c r="B186" s="67" t="s">
        <v>1456</v>
      </c>
      <c r="C186" s="108">
        <v>43619</v>
      </c>
      <c r="D186" s="67" t="s">
        <v>1457</v>
      </c>
      <c r="E186" s="67" t="s">
        <v>3</v>
      </c>
      <c r="F186" s="67" t="s">
        <v>3</v>
      </c>
      <c r="G186" s="67" t="s">
        <v>3</v>
      </c>
      <c r="H186" s="67" t="s">
        <v>3</v>
      </c>
      <c r="I186" s="67" t="s">
        <v>3</v>
      </c>
      <c r="J186" s="67" t="s">
        <v>3</v>
      </c>
      <c r="K186" s="67" t="s">
        <v>3</v>
      </c>
      <c r="L186" s="67" t="s">
        <v>71</v>
      </c>
      <c r="M186" s="67" t="s">
        <v>3</v>
      </c>
      <c r="N186" s="67" t="s">
        <v>3</v>
      </c>
      <c r="O186" s="67" t="s">
        <v>3</v>
      </c>
      <c r="P186" s="67" t="s">
        <v>1458</v>
      </c>
      <c r="Q186" s="67" t="s">
        <v>1459</v>
      </c>
      <c r="R186" s="67" t="s">
        <v>158</v>
      </c>
      <c r="S186" s="67" t="s">
        <v>158</v>
      </c>
      <c r="T186" s="67" t="s">
        <v>158</v>
      </c>
      <c r="U186" s="67"/>
      <c r="V186" s="67" t="s">
        <v>158</v>
      </c>
      <c r="W186" s="67" t="s">
        <v>158</v>
      </c>
      <c r="X186" s="67" t="s">
        <v>158</v>
      </c>
      <c r="Y186" s="67" t="s">
        <v>158</v>
      </c>
    </row>
    <row r="187" spans="1:27" ht="409.5" x14ac:dyDescent="0.25">
      <c r="A187">
        <v>26</v>
      </c>
      <c r="B187" s="67" t="s">
        <v>1460</v>
      </c>
      <c r="C187" s="108">
        <v>43631</v>
      </c>
      <c r="D187" s="67" t="s">
        <v>1461</v>
      </c>
      <c r="E187" s="67" t="s">
        <v>1462</v>
      </c>
      <c r="F187" s="67" t="s">
        <v>1342</v>
      </c>
      <c r="G187" s="67" t="s">
        <v>1342</v>
      </c>
      <c r="H187" s="67" t="s">
        <v>1342</v>
      </c>
      <c r="I187" s="67" t="s">
        <v>1342</v>
      </c>
      <c r="J187" s="67" t="s">
        <v>1342</v>
      </c>
      <c r="K187" s="67" t="s">
        <v>1342</v>
      </c>
      <c r="L187" s="67" t="s">
        <v>72</v>
      </c>
      <c r="M187" s="67" t="s">
        <v>1342</v>
      </c>
      <c r="N187" s="67" t="s">
        <v>1342</v>
      </c>
      <c r="O187" s="67" t="s">
        <v>1342</v>
      </c>
      <c r="P187" s="67" t="s">
        <v>1463</v>
      </c>
      <c r="Q187" s="67" t="s">
        <v>1464</v>
      </c>
      <c r="R187" s="67" t="s">
        <v>145</v>
      </c>
      <c r="S187" s="67" t="s">
        <v>145</v>
      </c>
      <c r="T187" s="67" t="s">
        <v>145</v>
      </c>
      <c r="U187" s="67"/>
      <c r="V187" s="67" t="s">
        <v>145</v>
      </c>
      <c r="W187" s="67" t="s">
        <v>145</v>
      </c>
      <c r="X187" s="67" t="s">
        <v>157</v>
      </c>
      <c r="Y187" s="67" t="s">
        <v>145</v>
      </c>
    </row>
    <row r="188" spans="1:27" ht="405" x14ac:dyDescent="0.25">
      <c r="A188">
        <v>27</v>
      </c>
      <c r="B188" s="67" t="s">
        <v>1465</v>
      </c>
      <c r="C188" s="108">
        <v>43631</v>
      </c>
      <c r="D188" s="67" t="s">
        <v>787</v>
      </c>
      <c r="E188" s="67" t="s">
        <v>1466</v>
      </c>
      <c r="F188" s="67" t="s">
        <v>1467</v>
      </c>
      <c r="G188" s="67" t="s">
        <v>1468</v>
      </c>
      <c r="H188" s="67" t="s">
        <v>5</v>
      </c>
      <c r="I188" s="67" t="s">
        <v>53</v>
      </c>
      <c r="J188" s="67" t="s">
        <v>139</v>
      </c>
      <c r="K188" s="67" t="s">
        <v>1469</v>
      </c>
      <c r="L188" s="67" t="s">
        <v>71</v>
      </c>
      <c r="M188" s="67" t="s">
        <v>111</v>
      </c>
      <c r="N188" s="67" t="s">
        <v>523</v>
      </c>
      <c r="O188" s="67" t="s">
        <v>248</v>
      </c>
      <c r="P188" s="67" t="s">
        <v>1470</v>
      </c>
      <c r="Q188" s="67" t="s">
        <v>1471</v>
      </c>
      <c r="R188" s="67" t="s">
        <v>170</v>
      </c>
      <c r="S188" s="67" t="s">
        <v>157</v>
      </c>
      <c r="T188" s="67" t="s">
        <v>145</v>
      </c>
      <c r="U188" s="67" t="s">
        <v>157</v>
      </c>
      <c r="V188" s="67" t="s">
        <v>157</v>
      </c>
      <c r="W188" s="67" t="s">
        <v>84</v>
      </c>
      <c r="X188" s="67" t="s">
        <v>157</v>
      </c>
      <c r="Y188" s="67" t="s">
        <v>1472</v>
      </c>
      <c r="Z188" s="110" t="s">
        <v>1473</v>
      </c>
      <c r="AA188" s="107" t="s">
        <v>1474</v>
      </c>
    </row>
    <row r="189" spans="1:27" ht="360" x14ac:dyDescent="0.25">
      <c r="A189">
        <v>28</v>
      </c>
      <c r="B189" s="67" t="s">
        <v>1475</v>
      </c>
      <c r="C189" s="108">
        <v>43632</v>
      </c>
      <c r="D189" s="67" t="s">
        <v>1261</v>
      </c>
      <c r="E189" s="67" t="s">
        <v>1476</v>
      </c>
      <c r="F189" s="67" t="s">
        <v>1477</v>
      </c>
      <c r="G189" s="67" t="s">
        <v>1478</v>
      </c>
      <c r="H189" s="67" t="s">
        <v>8</v>
      </c>
      <c r="I189" s="67" t="s">
        <v>52</v>
      </c>
      <c r="J189" s="67" t="s">
        <v>139</v>
      </c>
      <c r="K189" s="67" t="s">
        <v>1479</v>
      </c>
      <c r="L189" s="67" t="s">
        <v>71</v>
      </c>
      <c r="M189" s="67" t="s">
        <v>111</v>
      </c>
      <c r="N189" s="67" t="s">
        <v>141</v>
      </c>
      <c r="O189" s="67" t="s">
        <v>142</v>
      </c>
      <c r="P189" s="67" t="s">
        <v>1480</v>
      </c>
      <c r="Q189" s="67" t="s">
        <v>1481</v>
      </c>
      <c r="R189" s="67" t="s">
        <v>145</v>
      </c>
      <c r="S189" s="67" t="s">
        <v>145</v>
      </c>
      <c r="T189" s="67" t="s">
        <v>145</v>
      </c>
      <c r="U189" s="67"/>
      <c r="V189" s="67" t="s">
        <v>145</v>
      </c>
      <c r="W189" s="67" t="s">
        <v>145</v>
      </c>
      <c r="X189" s="67" t="s">
        <v>158</v>
      </c>
      <c r="Y189" s="67" t="s">
        <v>145</v>
      </c>
    </row>
    <row r="190" spans="1:27" ht="195" x14ac:dyDescent="0.25">
      <c r="A190">
        <v>29</v>
      </c>
      <c r="B190" s="67" t="s">
        <v>1482</v>
      </c>
      <c r="C190" s="108">
        <v>43646</v>
      </c>
      <c r="D190" s="67" t="s">
        <v>1483</v>
      </c>
      <c r="E190" s="67" t="s">
        <v>1484</v>
      </c>
      <c r="F190" s="67" t="s">
        <v>1485</v>
      </c>
      <c r="G190" s="67" t="s">
        <v>1486</v>
      </c>
      <c r="H190" s="67" t="s">
        <v>20</v>
      </c>
      <c r="I190" s="67" t="s">
        <v>50</v>
      </c>
      <c r="J190" s="67" t="s">
        <v>139</v>
      </c>
      <c r="K190" s="67" t="s">
        <v>1487</v>
      </c>
      <c r="L190" s="67" t="s">
        <v>71</v>
      </c>
      <c r="M190" s="67" t="s">
        <v>111</v>
      </c>
      <c r="N190" s="67" t="s">
        <v>141</v>
      </c>
      <c r="O190" s="67" t="s">
        <v>142</v>
      </c>
      <c r="P190" s="67" t="s">
        <v>1488</v>
      </c>
      <c r="Q190" s="67" t="s">
        <v>1489</v>
      </c>
      <c r="R190" s="67" t="s">
        <v>170</v>
      </c>
      <c r="S190" s="67" t="s">
        <v>170</v>
      </c>
      <c r="T190" s="67" t="s">
        <v>170</v>
      </c>
      <c r="U190" s="67"/>
      <c r="V190" s="67" t="s">
        <v>170</v>
      </c>
      <c r="W190" s="67" t="s">
        <v>170</v>
      </c>
      <c r="X190" s="67" t="s">
        <v>170</v>
      </c>
      <c r="Y190" s="67" t="s">
        <v>170</v>
      </c>
    </row>
    <row r="191" spans="1:27" ht="195" x14ac:dyDescent="0.25">
      <c r="A191">
        <v>30</v>
      </c>
      <c r="B191" s="67" t="s">
        <v>1490</v>
      </c>
      <c r="C191" s="108">
        <v>43648</v>
      </c>
      <c r="D191" s="67" t="s">
        <v>1491</v>
      </c>
      <c r="E191" s="67" t="s">
        <v>1492</v>
      </c>
      <c r="F191" s="67" t="s">
        <v>1493</v>
      </c>
      <c r="G191" s="67" t="s">
        <v>674</v>
      </c>
      <c r="H191" s="67" t="s">
        <v>7</v>
      </c>
      <c r="I191" s="67" t="s">
        <v>52</v>
      </c>
      <c r="J191" s="67" t="s">
        <v>139</v>
      </c>
      <c r="K191" s="67" t="s">
        <v>1494</v>
      </c>
      <c r="L191" s="67" t="s">
        <v>71</v>
      </c>
      <c r="M191" s="67" t="s">
        <v>111</v>
      </c>
      <c r="N191" s="67" t="s">
        <v>141</v>
      </c>
      <c r="O191" s="67" t="s">
        <v>142</v>
      </c>
      <c r="P191" s="67" t="s">
        <v>1495</v>
      </c>
      <c r="Q191" s="67" t="s">
        <v>1496</v>
      </c>
      <c r="R191" s="67" t="s">
        <v>157</v>
      </c>
      <c r="S191" s="67" t="s">
        <v>145</v>
      </c>
      <c r="T191" s="67" t="s">
        <v>157</v>
      </c>
      <c r="U191" s="67"/>
      <c r="V191" s="67" t="s">
        <v>145</v>
      </c>
      <c r="W191" s="67" t="s">
        <v>145</v>
      </c>
      <c r="X191" s="67" t="s">
        <v>157</v>
      </c>
      <c r="Y191" s="67" t="s">
        <v>1497</v>
      </c>
    </row>
    <row r="192" spans="1:27" ht="150" x14ac:dyDescent="0.25">
      <c r="A192">
        <v>31</v>
      </c>
      <c r="B192" s="67" t="s">
        <v>1498</v>
      </c>
      <c r="C192" s="108">
        <v>43652</v>
      </c>
      <c r="D192" s="67" t="s">
        <v>1499</v>
      </c>
      <c r="E192" s="67" t="s">
        <v>1500</v>
      </c>
      <c r="F192" s="67" t="s">
        <v>1501</v>
      </c>
      <c r="G192" s="67" t="s">
        <v>504</v>
      </c>
      <c r="H192" s="67" t="s">
        <v>12</v>
      </c>
      <c r="I192" s="67" t="s">
        <v>50</v>
      </c>
      <c r="J192" s="67" t="s">
        <v>139</v>
      </c>
      <c r="K192" s="67" t="s">
        <v>1383</v>
      </c>
      <c r="L192" s="67" t="s">
        <v>71</v>
      </c>
      <c r="M192" s="67" t="s">
        <v>111</v>
      </c>
      <c r="N192" s="67" t="s">
        <v>141</v>
      </c>
      <c r="O192" s="67" t="s">
        <v>142</v>
      </c>
      <c r="P192" s="67" t="s">
        <v>1502</v>
      </c>
      <c r="Q192" s="67" t="s">
        <v>1503</v>
      </c>
      <c r="R192" s="67" t="s">
        <v>145</v>
      </c>
      <c r="S192" s="67" t="s">
        <v>145</v>
      </c>
      <c r="T192" s="67" t="s">
        <v>145</v>
      </c>
      <c r="U192" s="67"/>
      <c r="V192" s="67" t="s">
        <v>145</v>
      </c>
      <c r="W192" s="67" t="s">
        <v>145</v>
      </c>
      <c r="X192" s="67" t="s">
        <v>145</v>
      </c>
      <c r="Y192" s="67" t="s">
        <v>145</v>
      </c>
    </row>
    <row r="193" spans="1:27" ht="165" x14ac:dyDescent="0.25">
      <c r="A193">
        <v>32</v>
      </c>
      <c r="B193" s="67" t="s">
        <v>1504</v>
      </c>
      <c r="C193" s="108">
        <v>43653</v>
      </c>
      <c r="D193" s="67" t="s">
        <v>1505</v>
      </c>
      <c r="E193" s="67" t="s">
        <v>1506</v>
      </c>
      <c r="F193" s="67" t="s">
        <v>367</v>
      </c>
      <c r="G193" s="67" t="s">
        <v>928</v>
      </c>
      <c r="H193" s="67" t="s">
        <v>8</v>
      </c>
      <c r="I193" s="67" t="s">
        <v>52</v>
      </c>
      <c r="J193" s="67" t="s">
        <v>139</v>
      </c>
      <c r="K193" s="67" t="s">
        <v>1494</v>
      </c>
      <c r="L193" s="67" t="s">
        <v>71</v>
      </c>
      <c r="M193" s="67" t="s">
        <v>111</v>
      </c>
      <c r="N193" s="67" t="s">
        <v>141</v>
      </c>
      <c r="O193" s="67" t="s">
        <v>142</v>
      </c>
      <c r="P193" s="67" t="s">
        <v>1507</v>
      </c>
      <c r="Q193" s="67" t="s">
        <v>1508</v>
      </c>
      <c r="R193" s="67" t="s">
        <v>157</v>
      </c>
      <c r="S193" s="67" t="s">
        <v>145</v>
      </c>
      <c r="T193" s="67" t="s">
        <v>170</v>
      </c>
      <c r="U193" s="67"/>
      <c r="V193" s="67" t="s">
        <v>170</v>
      </c>
      <c r="W193" s="67" t="s">
        <v>170</v>
      </c>
      <c r="X193" s="67" t="s">
        <v>157</v>
      </c>
      <c r="Y193" s="67" t="s">
        <v>170</v>
      </c>
    </row>
    <row r="194" spans="1:27" ht="195" x14ac:dyDescent="0.25">
      <c r="A194">
        <v>33</v>
      </c>
      <c r="B194" s="67" t="s">
        <v>1509</v>
      </c>
      <c r="C194" s="108">
        <v>43665</v>
      </c>
      <c r="D194" s="67" t="s">
        <v>1510</v>
      </c>
      <c r="E194" s="67" t="s">
        <v>1511</v>
      </c>
      <c r="F194" s="67" t="s">
        <v>1512</v>
      </c>
      <c r="G194" s="67" t="s">
        <v>1513</v>
      </c>
      <c r="H194" s="67" t="s">
        <v>5</v>
      </c>
      <c r="I194" s="67" t="s">
        <v>53</v>
      </c>
      <c r="J194" s="67" t="s">
        <v>139</v>
      </c>
      <c r="K194" s="67" t="s">
        <v>1383</v>
      </c>
      <c r="L194" s="67" t="s">
        <v>71</v>
      </c>
      <c r="M194" s="67" t="s">
        <v>111</v>
      </c>
      <c r="N194" s="67" t="s">
        <v>141</v>
      </c>
      <c r="O194" s="67" t="s">
        <v>142</v>
      </c>
      <c r="P194" s="67" t="s">
        <v>1514</v>
      </c>
      <c r="Q194" s="67" t="s">
        <v>1515</v>
      </c>
      <c r="R194" s="67" t="s">
        <v>145</v>
      </c>
      <c r="S194" s="67" t="s">
        <v>145</v>
      </c>
      <c r="T194" s="67" t="s">
        <v>170</v>
      </c>
      <c r="U194" s="67"/>
      <c r="V194" s="67" t="s">
        <v>170</v>
      </c>
      <c r="W194" s="67" t="s">
        <v>170</v>
      </c>
      <c r="X194" s="67" t="s">
        <v>170</v>
      </c>
      <c r="Y194" s="67" t="s">
        <v>170</v>
      </c>
    </row>
    <row r="195" spans="1:27" ht="225" x14ac:dyDescent="0.25">
      <c r="A195">
        <v>34</v>
      </c>
      <c r="B195" s="67" t="s">
        <v>1516</v>
      </c>
      <c r="C195" s="108">
        <v>43667</v>
      </c>
      <c r="D195" s="67" t="s">
        <v>1517</v>
      </c>
      <c r="E195" s="67" t="s">
        <v>1518</v>
      </c>
      <c r="F195" s="67" t="s">
        <v>1519</v>
      </c>
      <c r="G195" s="67" t="s">
        <v>1520</v>
      </c>
      <c r="H195" s="67" t="s">
        <v>6</v>
      </c>
      <c r="I195" s="67" t="s">
        <v>52</v>
      </c>
      <c r="J195" s="67" t="s">
        <v>139</v>
      </c>
      <c r="K195" s="67" t="s">
        <v>1521</v>
      </c>
      <c r="L195" s="67" t="s">
        <v>71</v>
      </c>
      <c r="M195" s="67" t="s">
        <v>111</v>
      </c>
      <c r="N195" s="67" t="s">
        <v>141</v>
      </c>
      <c r="O195" s="67" t="s">
        <v>1522</v>
      </c>
      <c r="P195" s="67" t="s">
        <v>1523</v>
      </c>
      <c r="Q195" s="67" t="s">
        <v>1524</v>
      </c>
      <c r="R195" s="67" t="s">
        <v>157</v>
      </c>
      <c r="S195" s="67" t="s">
        <v>145</v>
      </c>
      <c r="T195" s="67" t="s">
        <v>145</v>
      </c>
      <c r="U195" s="67"/>
      <c r="V195" s="67" t="s">
        <v>145</v>
      </c>
      <c r="W195" s="67" t="s">
        <v>170</v>
      </c>
      <c r="X195" s="67" t="s">
        <v>170</v>
      </c>
      <c r="Y195" s="67" t="s">
        <v>170</v>
      </c>
    </row>
    <row r="196" spans="1:27" ht="225" x14ac:dyDescent="0.25">
      <c r="A196">
        <v>35</v>
      </c>
      <c r="B196" s="67" t="s">
        <v>1525</v>
      </c>
      <c r="C196" s="108">
        <v>43670</v>
      </c>
      <c r="D196" s="67" t="s">
        <v>1526</v>
      </c>
      <c r="E196" s="67" t="s">
        <v>1527</v>
      </c>
      <c r="F196" s="67" t="s">
        <v>1405</v>
      </c>
      <c r="G196" s="67" t="s">
        <v>642</v>
      </c>
      <c r="H196" s="67" t="s">
        <v>54</v>
      </c>
      <c r="I196" s="67" t="s">
        <v>54</v>
      </c>
      <c r="J196" s="67" t="s">
        <v>643</v>
      </c>
      <c r="K196" s="67" t="s">
        <v>1118</v>
      </c>
      <c r="L196" s="67" t="s">
        <v>71</v>
      </c>
      <c r="M196" s="67" t="s">
        <v>111</v>
      </c>
      <c r="N196" s="67" t="s">
        <v>141</v>
      </c>
      <c r="O196" s="67" t="s">
        <v>142</v>
      </c>
      <c r="P196" s="67" t="s">
        <v>1528</v>
      </c>
      <c r="Q196" s="67" t="s">
        <v>1529</v>
      </c>
      <c r="R196" s="67" t="s">
        <v>145</v>
      </c>
      <c r="S196" s="67" t="s">
        <v>145</v>
      </c>
      <c r="T196" s="67" t="s">
        <v>145</v>
      </c>
      <c r="U196" s="67"/>
      <c r="V196" s="67" t="s">
        <v>145</v>
      </c>
      <c r="W196" s="67" t="s">
        <v>145</v>
      </c>
      <c r="X196" s="67" t="s">
        <v>170</v>
      </c>
      <c r="Y196" s="67" t="s">
        <v>170</v>
      </c>
    </row>
    <row r="197" spans="1:27" ht="150" x14ac:dyDescent="0.25">
      <c r="A197">
        <v>36</v>
      </c>
      <c r="B197" s="67" t="s">
        <v>1530</v>
      </c>
      <c r="C197" s="108">
        <v>43677</v>
      </c>
      <c r="D197" s="67" t="s">
        <v>1531</v>
      </c>
      <c r="E197" s="67" t="s">
        <v>926</v>
      </c>
      <c r="F197" s="67" t="s">
        <v>927</v>
      </c>
      <c r="G197" s="67" t="s">
        <v>928</v>
      </c>
      <c r="H197" s="67" t="s">
        <v>8</v>
      </c>
      <c r="I197" s="67" t="s">
        <v>52</v>
      </c>
      <c r="J197" s="67" t="s">
        <v>139</v>
      </c>
      <c r="K197" s="67" t="s">
        <v>1532</v>
      </c>
      <c r="L197" s="67" t="s">
        <v>71</v>
      </c>
      <c r="M197" s="67" t="s">
        <v>111</v>
      </c>
      <c r="N197" s="67" t="s">
        <v>523</v>
      </c>
      <c r="O197" s="67" t="s">
        <v>142</v>
      </c>
      <c r="P197" s="67" t="s">
        <v>1533</v>
      </c>
      <c r="Q197" s="67" t="s">
        <v>1534</v>
      </c>
      <c r="R197" s="67" t="s">
        <v>145</v>
      </c>
      <c r="S197" s="67" t="s">
        <v>145</v>
      </c>
      <c r="T197" s="67" t="s">
        <v>170</v>
      </c>
      <c r="U197" s="67"/>
      <c r="V197" s="67" t="s">
        <v>170</v>
      </c>
      <c r="W197" s="67" t="s">
        <v>170</v>
      </c>
      <c r="X197" s="67" t="s">
        <v>170</v>
      </c>
      <c r="Y197" s="67" t="s">
        <v>170</v>
      </c>
    </row>
    <row r="198" spans="1:27" ht="225" x14ac:dyDescent="0.25">
      <c r="A198">
        <v>37</v>
      </c>
      <c r="B198" s="67" t="s">
        <v>1535</v>
      </c>
      <c r="C198" s="108">
        <v>43677</v>
      </c>
      <c r="D198" s="67" t="s">
        <v>1536</v>
      </c>
      <c r="E198" s="67" t="s">
        <v>1537</v>
      </c>
      <c r="F198" s="67" t="s">
        <v>356</v>
      </c>
      <c r="G198" s="67" t="s">
        <v>215</v>
      </c>
      <c r="H198" s="67" t="s">
        <v>5</v>
      </c>
      <c r="I198" s="67" t="s">
        <v>53</v>
      </c>
      <c r="J198" s="67" t="s">
        <v>139</v>
      </c>
      <c r="K198" s="67" t="s">
        <v>1124</v>
      </c>
      <c r="L198" s="67" t="s">
        <v>71</v>
      </c>
      <c r="M198" s="67" t="s">
        <v>111</v>
      </c>
      <c r="N198" s="67" t="s">
        <v>141</v>
      </c>
      <c r="O198" s="67" t="s">
        <v>142</v>
      </c>
      <c r="P198" s="67" t="s">
        <v>1538</v>
      </c>
      <c r="Q198" s="67" t="s">
        <v>1539</v>
      </c>
      <c r="R198" s="67" t="s">
        <v>145</v>
      </c>
      <c r="S198" s="67" t="s">
        <v>145</v>
      </c>
      <c r="T198" s="67" t="s">
        <v>145</v>
      </c>
      <c r="U198" s="67"/>
      <c r="V198" s="67" t="s">
        <v>145</v>
      </c>
      <c r="W198" s="67" t="s">
        <v>145</v>
      </c>
      <c r="X198" s="67" t="s">
        <v>145</v>
      </c>
      <c r="Y198" s="67" t="s">
        <v>145</v>
      </c>
    </row>
    <row r="199" spans="1:27" ht="165" x14ac:dyDescent="0.25">
      <c r="A199">
        <v>38</v>
      </c>
      <c r="B199" s="67" t="s">
        <v>1540</v>
      </c>
      <c r="C199" s="108">
        <v>43678</v>
      </c>
      <c r="D199" s="67" t="s">
        <v>316</v>
      </c>
      <c r="E199" s="67" t="s">
        <v>1541</v>
      </c>
      <c r="F199" s="67" t="s">
        <v>641</v>
      </c>
      <c r="G199" s="67" t="s">
        <v>642</v>
      </c>
      <c r="H199" s="67" t="s">
        <v>54</v>
      </c>
      <c r="I199" s="67" t="s">
        <v>54</v>
      </c>
      <c r="J199" s="67" t="s">
        <v>643</v>
      </c>
      <c r="K199" s="67" t="s">
        <v>1118</v>
      </c>
      <c r="L199" s="67" t="s">
        <v>71</v>
      </c>
      <c r="M199" s="67" t="s">
        <v>111</v>
      </c>
      <c r="N199" s="67" t="s">
        <v>141</v>
      </c>
      <c r="O199" s="67" t="s">
        <v>248</v>
      </c>
      <c r="P199" s="67" t="s">
        <v>1542</v>
      </c>
      <c r="Q199" s="67" t="s">
        <v>1543</v>
      </c>
      <c r="R199" s="67" t="s">
        <v>145</v>
      </c>
      <c r="S199" s="67" t="s">
        <v>145</v>
      </c>
      <c r="T199" s="67" t="s">
        <v>145</v>
      </c>
      <c r="U199" s="67"/>
      <c r="V199" s="67" t="s">
        <v>145</v>
      </c>
      <c r="W199" s="67" t="s">
        <v>145</v>
      </c>
      <c r="X199" s="67" t="s">
        <v>145</v>
      </c>
      <c r="Y199" s="67" t="s">
        <v>145</v>
      </c>
    </row>
    <row r="200" spans="1:27" ht="180" x14ac:dyDescent="0.25">
      <c r="A200">
        <v>39</v>
      </c>
      <c r="B200" s="67" t="s">
        <v>1544</v>
      </c>
      <c r="C200" s="108">
        <v>43680</v>
      </c>
      <c r="D200" s="67" t="s">
        <v>1545</v>
      </c>
      <c r="E200" s="67" t="s">
        <v>1546</v>
      </c>
      <c r="F200" s="67" t="s">
        <v>1512</v>
      </c>
      <c r="G200" s="67" t="s">
        <v>1513</v>
      </c>
      <c r="H200" s="67" t="s">
        <v>5</v>
      </c>
      <c r="I200" s="67" t="s">
        <v>53</v>
      </c>
      <c r="J200" s="67" t="s">
        <v>139</v>
      </c>
      <c r="K200" s="67" t="s">
        <v>1383</v>
      </c>
      <c r="L200" s="67" t="s">
        <v>71</v>
      </c>
      <c r="M200" s="67" t="s">
        <v>111</v>
      </c>
      <c r="N200" s="67" t="s">
        <v>141</v>
      </c>
      <c r="O200" s="67" t="s">
        <v>142</v>
      </c>
      <c r="P200" s="67" t="s">
        <v>1547</v>
      </c>
      <c r="Q200" s="67" t="s">
        <v>1548</v>
      </c>
      <c r="R200" s="67" t="s">
        <v>145</v>
      </c>
      <c r="S200" s="67" t="s">
        <v>157</v>
      </c>
      <c r="T200" s="67" t="s">
        <v>170</v>
      </c>
      <c r="U200" s="67"/>
      <c r="V200" s="67" t="s">
        <v>170</v>
      </c>
      <c r="W200" s="67" t="s">
        <v>170</v>
      </c>
      <c r="X200" s="67" t="s">
        <v>170</v>
      </c>
      <c r="Y200" s="67" t="s">
        <v>170</v>
      </c>
    </row>
    <row r="201" spans="1:27" ht="165" x14ac:dyDescent="0.25">
      <c r="A201">
        <v>40</v>
      </c>
      <c r="B201" s="67" t="s">
        <v>1549</v>
      </c>
      <c r="C201" s="108">
        <v>43683</v>
      </c>
      <c r="D201" s="67" t="s">
        <v>1550</v>
      </c>
      <c r="E201" s="67" t="s">
        <v>1551</v>
      </c>
      <c r="F201" s="67" t="s">
        <v>1342</v>
      </c>
      <c r="G201" s="67" t="s">
        <v>1342</v>
      </c>
      <c r="H201" s="67" t="s">
        <v>1342</v>
      </c>
      <c r="I201" s="67" t="s">
        <v>1342</v>
      </c>
      <c r="J201" s="67" t="s">
        <v>1342</v>
      </c>
      <c r="K201" s="67" t="s">
        <v>1342</v>
      </c>
      <c r="L201" s="67" t="s">
        <v>1342</v>
      </c>
      <c r="M201" s="67" t="s">
        <v>1342</v>
      </c>
      <c r="N201" s="67" t="s">
        <v>1342</v>
      </c>
      <c r="O201" s="67" t="s">
        <v>1342</v>
      </c>
      <c r="P201" s="67" t="s">
        <v>1552</v>
      </c>
      <c r="Q201" s="67" t="s">
        <v>1553</v>
      </c>
      <c r="R201" s="67" t="s">
        <v>145</v>
      </c>
      <c r="S201" s="67" t="s">
        <v>145</v>
      </c>
      <c r="T201" s="67" t="s">
        <v>145</v>
      </c>
      <c r="U201" s="67"/>
      <c r="V201" s="67" t="s">
        <v>145</v>
      </c>
      <c r="W201" s="67" t="s">
        <v>145</v>
      </c>
      <c r="X201" s="67" t="s">
        <v>157</v>
      </c>
      <c r="Y201" s="67" t="s">
        <v>1550</v>
      </c>
    </row>
    <row r="202" spans="1:27" ht="135" x14ac:dyDescent="0.25">
      <c r="A202">
        <v>41</v>
      </c>
      <c r="B202" s="67" t="s">
        <v>1554</v>
      </c>
      <c r="C202" s="108">
        <v>43688</v>
      </c>
      <c r="D202" s="67" t="s">
        <v>1555</v>
      </c>
      <c r="E202" s="67" t="s">
        <v>1556</v>
      </c>
      <c r="F202" s="67" t="s">
        <v>1557</v>
      </c>
      <c r="G202" s="67" t="s">
        <v>274</v>
      </c>
      <c r="H202" s="67" t="s">
        <v>5</v>
      </c>
      <c r="I202" s="67" t="s">
        <v>53</v>
      </c>
      <c r="J202" s="67" t="s">
        <v>139</v>
      </c>
      <c r="K202" s="67" t="s">
        <v>1558</v>
      </c>
      <c r="L202" s="67" t="s">
        <v>71</v>
      </c>
      <c r="M202" s="67" t="s">
        <v>111</v>
      </c>
      <c r="N202" s="67" t="s">
        <v>523</v>
      </c>
      <c r="O202" s="67" t="s">
        <v>142</v>
      </c>
      <c r="P202" s="67" t="s">
        <v>1559</v>
      </c>
      <c r="Q202" s="67" t="s">
        <v>1560</v>
      </c>
      <c r="R202" s="67" t="s">
        <v>145</v>
      </c>
      <c r="S202" s="67" t="s">
        <v>157</v>
      </c>
      <c r="T202" s="67" t="s">
        <v>170</v>
      </c>
      <c r="U202" s="67"/>
      <c r="V202" s="67" t="s">
        <v>170</v>
      </c>
      <c r="W202" s="67" t="s">
        <v>170</v>
      </c>
      <c r="X202" s="67" t="s">
        <v>170</v>
      </c>
      <c r="Y202" s="67" t="s">
        <v>170</v>
      </c>
    </row>
    <row r="203" spans="1:27" ht="150" x14ac:dyDescent="0.25">
      <c r="A203">
        <v>42</v>
      </c>
      <c r="B203" s="67" t="s">
        <v>1561</v>
      </c>
      <c r="C203" s="108">
        <v>43692</v>
      </c>
      <c r="D203" s="67" t="s">
        <v>1562</v>
      </c>
      <c r="E203" s="67" t="s">
        <v>1563</v>
      </c>
      <c r="F203" s="67" t="s">
        <v>1342</v>
      </c>
      <c r="G203" s="67" t="s">
        <v>1342</v>
      </c>
      <c r="H203" s="67" t="s">
        <v>1342</v>
      </c>
      <c r="I203" s="67" t="s">
        <v>1342</v>
      </c>
      <c r="J203" s="67" t="s">
        <v>1342</v>
      </c>
      <c r="K203" s="67" t="s">
        <v>1342</v>
      </c>
      <c r="L203" s="67" t="s">
        <v>1342</v>
      </c>
      <c r="M203" s="67" t="s">
        <v>1342</v>
      </c>
      <c r="N203" s="67" t="s">
        <v>1342</v>
      </c>
      <c r="O203" s="67" t="s">
        <v>1342</v>
      </c>
      <c r="P203" s="67" t="s">
        <v>1564</v>
      </c>
      <c r="Q203" s="67" t="s">
        <v>1565</v>
      </c>
      <c r="R203" s="67" t="s">
        <v>170</v>
      </c>
      <c r="S203" s="67" t="s">
        <v>170</v>
      </c>
      <c r="T203" s="67" t="s">
        <v>170</v>
      </c>
      <c r="U203" s="67"/>
      <c r="V203" s="67" t="s">
        <v>170</v>
      </c>
      <c r="W203" s="67" t="s">
        <v>170</v>
      </c>
      <c r="X203" s="67" t="s">
        <v>170</v>
      </c>
      <c r="Y203" s="67" t="s">
        <v>170</v>
      </c>
    </row>
    <row r="204" spans="1:27" ht="180" x14ac:dyDescent="0.25">
      <c r="A204">
        <v>43</v>
      </c>
      <c r="B204" s="67" t="s">
        <v>1566</v>
      </c>
      <c r="C204" s="108">
        <v>43692</v>
      </c>
      <c r="D204" s="67" t="s">
        <v>1567</v>
      </c>
      <c r="E204" s="67" t="s">
        <v>3</v>
      </c>
      <c r="F204" s="67" t="s">
        <v>3</v>
      </c>
      <c r="G204" s="67" t="s">
        <v>3</v>
      </c>
      <c r="H204" s="67" t="s">
        <v>3</v>
      </c>
      <c r="I204" s="67" t="s">
        <v>3</v>
      </c>
      <c r="J204" s="67" t="s">
        <v>3</v>
      </c>
      <c r="K204" s="67" t="s">
        <v>3</v>
      </c>
      <c r="L204" s="67" t="s">
        <v>3</v>
      </c>
      <c r="M204" s="67" t="s">
        <v>3</v>
      </c>
      <c r="N204" s="67" t="s">
        <v>3</v>
      </c>
      <c r="O204" s="67" t="s">
        <v>3</v>
      </c>
      <c r="P204" s="67" t="s">
        <v>1568</v>
      </c>
      <c r="Q204" s="67" t="s">
        <v>1569</v>
      </c>
      <c r="R204" s="67" t="s">
        <v>145</v>
      </c>
      <c r="S204" s="67" t="s">
        <v>145</v>
      </c>
      <c r="T204" s="67" t="s">
        <v>145</v>
      </c>
      <c r="U204" s="67"/>
      <c r="V204" s="67" t="s">
        <v>145</v>
      </c>
      <c r="W204" s="67" t="s">
        <v>145</v>
      </c>
      <c r="X204" s="67" t="s">
        <v>145</v>
      </c>
      <c r="Y204" s="67" t="s">
        <v>145</v>
      </c>
    </row>
    <row r="205" spans="1:27" ht="195" x14ac:dyDescent="0.25">
      <c r="A205">
        <v>44</v>
      </c>
      <c r="B205" s="67" t="s">
        <v>1570</v>
      </c>
      <c r="C205" s="108">
        <v>43696</v>
      </c>
      <c r="D205" s="67" t="s">
        <v>1571</v>
      </c>
      <c r="E205" s="67" t="s">
        <v>1572</v>
      </c>
      <c r="F205" s="67" t="s">
        <v>1342</v>
      </c>
      <c r="G205" s="67" t="s">
        <v>1342</v>
      </c>
      <c r="H205" s="67" t="s">
        <v>1342</v>
      </c>
      <c r="I205" s="67" t="s">
        <v>1342</v>
      </c>
      <c r="J205" s="67" t="s">
        <v>1342</v>
      </c>
      <c r="K205" s="67" t="s">
        <v>1342</v>
      </c>
      <c r="L205" s="67" t="s">
        <v>1342</v>
      </c>
      <c r="M205" s="67" t="s">
        <v>1342</v>
      </c>
      <c r="N205" s="67" t="s">
        <v>1342</v>
      </c>
      <c r="O205" s="67" t="s">
        <v>1342</v>
      </c>
      <c r="P205" s="67" t="s">
        <v>1573</v>
      </c>
      <c r="Q205" s="67" t="s">
        <v>1574</v>
      </c>
      <c r="R205" s="67" t="s">
        <v>145</v>
      </c>
      <c r="S205" s="67" t="s">
        <v>145</v>
      </c>
      <c r="T205" s="67" t="s">
        <v>145</v>
      </c>
      <c r="U205" s="67"/>
      <c r="V205" s="67" t="s">
        <v>145</v>
      </c>
      <c r="W205" s="67" t="s">
        <v>145</v>
      </c>
      <c r="X205" s="67" t="s">
        <v>157</v>
      </c>
      <c r="Y205" s="67" t="s">
        <v>1575</v>
      </c>
    </row>
    <row r="206" spans="1:27" ht="120" x14ac:dyDescent="0.25">
      <c r="A206">
        <v>45</v>
      </c>
      <c r="B206" s="67" t="s">
        <v>1576</v>
      </c>
      <c r="C206" s="108">
        <v>43702</v>
      </c>
      <c r="D206" s="67" t="s">
        <v>1577</v>
      </c>
      <c r="E206" s="67" t="s">
        <v>1578</v>
      </c>
      <c r="F206" s="67" t="s">
        <v>1579</v>
      </c>
      <c r="G206" s="67" t="s">
        <v>1580</v>
      </c>
      <c r="H206" s="67" t="s">
        <v>5</v>
      </c>
      <c r="I206" s="67" t="s">
        <v>53</v>
      </c>
      <c r="J206" s="67" t="s">
        <v>139</v>
      </c>
      <c r="K206" s="67" t="s">
        <v>1581</v>
      </c>
      <c r="L206" s="67" t="s">
        <v>71</v>
      </c>
      <c r="M206" s="67" t="s">
        <v>111</v>
      </c>
      <c r="N206" s="67" t="s">
        <v>141</v>
      </c>
      <c r="O206" s="67" t="s">
        <v>142</v>
      </c>
      <c r="P206" s="67" t="s">
        <v>1582</v>
      </c>
      <c r="Q206" s="67" t="s">
        <v>1583</v>
      </c>
      <c r="R206" s="67" t="s">
        <v>145</v>
      </c>
      <c r="S206" s="67" t="s">
        <v>157</v>
      </c>
      <c r="T206" s="67" t="s">
        <v>158</v>
      </c>
      <c r="U206" s="67" t="s">
        <v>157</v>
      </c>
      <c r="V206" s="67" t="s">
        <v>310</v>
      </c>
      <c r="W206" s="67" t="s">
        <v>84</v>
      </c>
      <c r="X206" s="67" t="s">
        <v>170</v>
      </c>
      <c r="Y206" s="67" t="s">
        <v>170</v>
      </c>
      <c r="Z206" s="110" t="s">
        <v>1584</v>
      </c>
      <c r="AA206" s="67" t="s">
        <v>849</v>
      </c>
    </row>
    <row r="207" spans="1:27" ht="120" x14ac:dyDescent="0.25">
      <c r="A207">
        <v>46</v>
      </c>
      <c r="B207" s="67" t="s">
        <v>1585</v>
      </c>
      <c r="C207" s="108">
        <v>43702</v>
      </c>
      <c r="D207" s="67" t="s">
        <v>1586</v>
      </c>
      <c r="E207" s="67" t="s">
        <v>1587</v>
      </c>
      <c r="F207" s="67" t="s">
        <v>1588</v>
      </c>
      <c r="G207" s="67" t="s">
        <v>1589</v>
      </c>
      <c r="H207" s="67" t="s">
        <v>6</v>
      </c>
      <c r="I207" s="67" t="s">
        <v>52</v>
      </c>
      <c r="J207" s="67" t="s">
        <v>139</v>
      </c>
      <c r="K207" s="67" t="s">
        <v>1590</v>
      </c>
      <c r="L207" s="67" t="s">
        <v>71</v>
      </c>
      <c r="M207" s="67" t="s">
        <v>111</v>
      </c>
      <c r="N207" s="67" t="s">
        <v>141</v>
      </c>
      <c r="O207" s="67" t="s">
        <v>142</v>
      </c>
      <c r="P207" s="67" t="s">
        <v>1591</v>
      </c>
      <c r="Q207" s="67" t="s">
        <v>1592</v>
      </c>
      <c r="R207" s="67" t="s">
        <v>145</v>
      </c>
      <c r="S207" s="67" t="s">
        <v>145</v>
      </c>
      <c r="T207" s="67" t="s">
        <v>145</v>
      </c>
      <c r="U207" s="67"/>
      <c r="V207" s="67" t="s">
        <v>145</v>
      </c>
      <c r="W207" s="67" t="s">
        <v>145</v>
      </c>
      <c r="X207" s="67" t="s">
        <v>145</v>
      </c>
      <c r="Y207" s="67" t="s">
        <v>145</v>
      </c>
    </row>
    <row r="208" spans="1:27" ht="240" x14ac:dyDescent="0.25">
      <c r="A208">
        <v>47</v>
      </c>
      <c r="B208" s="67" t="s">
        <v>1593</v>
      </c>
      <c r="C208" s="108">
        <v>43708</v>
      </c>
      <c r="D208" s="67" t="s">
        <v>1594</v>
      </c>
      <c r="E208" s="67" t="s">
        <v>1595</v>
      </c>
      <c r="F208" s="67" t="s">
        <v>1596</v>
      </c>
      <c r="G208" s="67" t="s">
        <v>561</v>
      </c>
      <c r="H208" s="67" t="s">
        <v>6</v>
      </c>
      <c r="I208" s="67" t="s">
        <v>52</v>
      </c>
      <c r="J208" s="67" t="s">
        <v>139</v>
      </c>
      <c r="K208" s="67" t="s">
        <v>1597</v>
      </c>
      <c r="L208" s="67" t="s">
        <v>71</v>
      </c>
      <c r="M208" s="67" t="s">
        <v>111</v>
      </c>
      <c r="N208" s="67" t="s">
        <v>141</v>
      </c>
      <c r="O208" s="67" t="s">
        <v>142</v>
      </c>
      <c r="P208" s="67" t="s">
        <v>1598</v>
      </c>
      <c r="Q208" s="67" t="s">
        <v>1599</v>
      </c>
      <c r="R208" s="67" t="s">
        <v>145</v>
      </c>
      <c r="S208" s="67" t="s">
        <v>157</v>
      </c>
      <c r="T208" s="67" t="s">
        <v>145</v>
      </c>
      <c r="U208" s="67" t="s">
        <v>157</v>
      </c>
      <c r="V208" s="67" t="s">
        <v>157</v>
      </c>
      <c r="W208" s="67" t="s">
        <v>61</v>
      </c>
      <c r="X208" s="67" t="s">
        <v>170</v>
      </c>
      <c r="Y208" s="67" t="s">
        <v>170</v>
      </c>
      <c r="Z208" s="110" t="s">
        <v>1600</v>
      </c>
      <c r="AA208" s="67" t="s">
        <v>1601</v>
      </c>
    </row>
    <row r="209" spans="1:27" ht="180" x14ac:dyDescent="0.25">
      <c r="A209">
        <v>48</v>
      </c>
      <c r="B209" s="67" t="s">
        <v>1602</v>
      </c>
      <c r="C209" s="108">
        <v>43712</v>
      </c>
      <c r="D209" s="67" t="s">
        <v>1224</v>
      </c>
      <c r="E209" s="67" t="s">
        <v>1603</v>
      </c>
      <c r="F209" s="67" t="s">
        <v>748</v>
      </c>
      <c r="G209" s="67" t="s">
        <v>226</v>
      </c>
      <c r="H209" s="67" t="s">
        <v>9</v>
      </c>
      <c r="I209" s="67" t="s">
        <v>53</v>
      </c>
      <c r="J209" s="67" t="s">
        <v>139</v>
      </c>
      <c r="K209" s="67" t="s">
        <v>140</v>
      </c>
      <c r="L209" s="67" t="s">
        <v>71</v>
      </c>
      <c r="M209" s="67" t="s">
        <v>111</v>
      </c>
      <c r="N209" s="67" t="s">
        <v>141</v>
      </c>
      <c r="O209" s="67" t="s">
        <v>142</v>
      </c>
      <c r="P209" s="67" t="s">
        <v>1604</v>
      </c>
      <c r="Q209" s="67" t="s">
        <v>1605</v>
      </c>
      <c r="R209" s="67" t="s">
        <v>145</v>
      </c>
      <c r="S209" s="67" t="s">
        <v>145</v>
      </c>
      <c r="T209" s="67" t="s">
        <v>145</v>
      </c>
      <c r="U209" s="67"/>
      <c r="V209" s="67" t="s">
        <v>145</v>
      </c>
      <c r="W209" s="67" t="s">
        <v>61</v>
      </c>
      <c r="X209" s="67" t="s">
        <v>145</v>
      </c>
      <c r="Y209" s="67" t="s">
        <v>145</v>
      </c>
    </row>
    <row r="210" spans="1:27" ht="225" x14ac:dyDescent="0.25">
      <c r="A210">
        <v>49</v>
      </c>
      <c r="B210" s="67" t="s">
        <v>1606</v>
      </c>
      <c r="C210" s="108">
        <v>43716</v>
      </c>
      <c r="D210" s="67" t="s">
        <v>1607</v>
      </c>
      <c r="E210" s="67" t="s">
        <v>1608</v>
      </c>
      <c r="F210" s="67" t="s">
        <v>1609</v>
      </c>
      <c r="G210" s="67" t="s">
        <v>1610</v>
      </c>
      <c r="H210" s="67" t="s">
        <v>16</v>
      </c>
      <c r="I210" s="67" t="s">
        <v>50</v>
      </c>
      <c r="J210" s="67" t="s">
        <v>139</v>
      </c>
      <c r="K210" s="67" t="s">
        <v>1611</v>
      </c>
      <c r="L210" s="67" t="s">
        <v>71</v>
      </c>
      <c r="M210" s="67" t="s">
        <v>111</v>
      </c>
      <c r="N210" s="67" t="s">
        <v>141</v>
      </c>
      <c r="O210" s="67" t="s">
        <v>142</v>
      </c>
      <c r="P210" s="67" t="s">
        <v>1612</v>
      </c>
      <c r="Q210" s="67" t="s">
        <v>1613</v>
      </c>
      <c r="R210" s="67" t="s">
        <v>145</v>
      </c>
      <c r="S210" s="67" t="s">
        <v>170</v>
      </c>
      <c r="T210" s="67" t="s">
        <v>170</v>
      </c>
      <c r="U210" s="67"/>
      <c r="V210" s="67" t="s">
        <v>170</v>
      </c>
      <c r="W210" s="67" t="s">
        <v>170</v>
      </c>
      <c r="X210" s="67" t="s">
        <v>170</v>
      </c>
      <c r="Y210" s="67" t="s">
        <v>170</v>
      </c>
    </row>
    <row r="211" spans="1:27" ht="225" x14ac:dyDescent="0.25">
      <c r="A211">
        <v>50</v>
      </c>
      <c r="B211" s="67" t="s">
        <v>1614</v>
      </c>
      <c r="C211" s="108">
        <v>43720</v>
      </c>
      <c r="D211" s="67" t="s">
        <v>1615</v>
      </c>
      <c r="E211" s="67" t="s">
        <v>1616</v>
      </c>
      <c r="F211" s="67" t="s">
        <v>3</v>
      </c>
      <c r="G211" s="67" t="s">
        <v>3</v>
      </c>
      <c r="H211" s="67" t="s">
        <v>3</v>
      </c>
      <c r="I211" s="67" t="s">
        <v>3</v>
      </c>
      <c r="J211" s="67" t="s">
        <v>3</v>
      </c>
      <c r="K211" s="67" t="s">
        <v>3</v>
      </c>
      <c r="L211" s="67" t="s">
        <v>3</v>
      </c>
      <c r="M211" s="67" t="s">
        <v>3</v>
      </c>
      <c r="N211" s="67" t="s">
        <v>3</v>
      </c>
      <c r="O211" s="67" t="s">
        <v>3</v>
      </c>
      <c r="P211" s="67" t="s">
        <v>1617</v>
      </c>
      <c r="Q211" s="67" t="s">
        <v>1618</v>
      </c>
      <c r="R211" s="67" t="s">
        <v>145</v>
      </c>
      <c r="S211" s="67" t="s">
        <v>145</v>
      </c>
      <c r="T211" s="67" t="s">
        <v>145</v>
      </c>
      <c r="U211" s="67"/>
      <c r="V211" s="67" t="s">
        <v>145</v>
      </c>
      <c r="W211" s="67" t="s">
        <v>145</v>
      </c>
      <c r="X211" s="67" t="s">
        <v>145</v>
      </c>
      <c r="Y211" s="67" t="s">
        <v>145</v>
      </c>
    </row>
    <row r="212" spans="1:27" ht="180" x14ac:dyDescent="0.25">
      <c r="A212">
        <v>51</v>
      </c>
      <c r="B212" s="67" t="s">
        <v>1619</v>
      </c>
      <c r="C212" s="108">
        <v>43727</v>
      </c>
      <c r="D212" s="67" t="s">
        <v>1620</v>
      </c>
      <c r="E212" s="67" t="s">
        <v>1621</v>
      </c>
      <c r="F212" s="67" t="s">
        <v>1622</v>
      </c>
      <c r="G212" s="67" t="s">
        <v>1623</v>
      </c>
      <c r="H212" s="67" t="s">
        <v>54</v>
      </c>
      <c r="I212" s="67" t="s">
        <v>54</v>
      </c>
      <c r="J212" s="67" t="s">
        <v>986</v>
      </c>
      <c r="K212" s="67" t="s">
        <v>1118</v>
      </c>
      <c r="L212" s="67" t="s">
        <v>71</v>
      </c>
      <c r="M212" s="67" t="s">
        <v>111</v>
      </c>
      <c r="N212" s="67" t="s">
        <v>141</v>
      </c>
      <c r="O212" s="67" t="s">
        <v>142</v>
      </c>
      <c r="P212" s="67" t="s">
        <v>1624</v>
      </c>
      <c r="Q212" s="67" t="s">
        <v>1625</v>
      </c>
      <c r="R212" s="67" t="s">
        <v>158</v>
      </c>
      <c r="S212" s="67" t="s">
        <v>170</v>
      </c>
      <c r="T212" s="67" t="s">
        <v>170</v>
      </c>
      <c r="U212" s="67"/>
      <c r="V212" s="67" t="s">
        <v>170</v>
      </c>
      <c r="W212" s="67" t="s">
        <v>170</v>
      </c>
      <c r="X212" s="67" t="s">
        <v>170</v>
      </c>
      <c r="Y212" s="67" t="s">
        <v>170</v>
      </c>
    </row>
    <row r="213" spans="1:27" ht="225" x14ac:dyDescent="0.25">
      <c r="A213">
        <v>52</v>
      </c>
      <c r="B213" s="67" t="s">
        <v>1626</v>
      </c>
      <c r="C213" s="108">
        <v>43729</v>
      </c>
      <c r="D213" s="67" t="s">
        <v>1627</v>
      </c>
      <c r="E213" s="67" t="s">
        <v>1628</v>
      </c>
      <c r="F213" s="67" t="s">
        <v>1629</v>
      </c>
      <c r="G213" s="67" t="s">
        <v>1630</v>
      </c>
      <c r="H213" s="67" t="s">
        <v>18</v>
      </c>
      <c r="I213" s="67" t="s">
        <v>50</v>
      </c>
      <c r="J213" s="67" t="s">
        <v>139</v>
      </c>
      <c r="K213" s="67" t="s">
        <v>1631</v>
      </c>
      <c r="L213" s="67" t="s">
        <v>71</v>
      </c>
      <c r="M213" s="67" t="s">
        <v>111</v>
      </c>
      <c r="N213" s="67" t="s">
        <v>141</v>
      </c>
      <c r="O213" s="67" t="s">
        <v>142</v>
      </c>
      <c r="P213" s="67" t="s">
        <v>1632</v>
      </c>
      <c r="Q213" s="67" t="s">
        <v>1633</v>
      </c>
      <c r="R213" s="123" t="s">
        <v>157</v>
      </c>
      <c r="S213" s="67" t="s">
        <v>157</v>
      </c>
      <c r="T213" s="67" t="s">
        <v>170</v>
      </c>
      <c r="U213" s="67"/>
      <c r="V213" s="67" t="s">
        <v>170</v>
      </c>
      <c r="W213" s="67" t="s">
        <v>170</v>
      </c>
      <c r="X213" s="67" t="s">
        <v>157</v>
      </c>
      <c r="Y213" s="67" t="s">
        <v>1634</v>
      </c>
    </row>
    <row r="214" spans="1:27" ht="210" x14ac:dyDescent="0.25">
      <c r="A214">
        <v>53</v>
      </c>
      <c r="B214" s="67" t="s">
        <v>1635</v>
      </c>
      <c r="C214" s="108">
        <v>43730</v>
      </c>
      <c r="D214" s="67" t="s">
        <v>1636</v>
      </c>
      <c r="E214" s="67" t="s">
        <v>1637</v>
      </c>
      <c r="F214" s="67" t="s">
        <v>1638</v>
      </c>
      <c r="G214" s="67" t="s">
        <v>723</v>
      </c>
      <c r="H214" s="67" t="s">
        <v>13</v>
      </c>
      <c r="I214" s="67" t="s">
        <v>50</v>
      </c>
      <c r="J214" s="67" t="s">
        <v>139</v>
      </c>
      <c r="K214" s="67" t="s">
        <v>1398</v>
      </c>
      <c r="L214" s="67" t="s">
        <v>71</v>
      </c>
      <c r="M214" s="67" t="s">
        <v>111</v>
      </c>
      <c r="N214" s="67" t="s">
        <v>141</v>
      </c>
      <c r="O214" s="67" t="s">
        <v>142</v>
      </c>
      <c r="P214" s="67" t="s">
        <v>1639</v>
      </c>
      <c r="Q214" s="67" t="s">
        <v>1640</v>
      </c>
      <c r="R214" s="67" t="s">
        <v>145</v>
      </c>
      <c r="S214" s="67" t="s">
        <v>145</v>
      </c>
      <c r="T214" s="67" t="s">
        <v>145</v>
      </c>
      <c r="U214" s="67"/>
      <c r="V214" s="67" t="s">
        <v>145</v>
      </c>
      <c r="W214" s="67" t="s">
        <v>145</v>
      </c>
      <c r="X214" s="67" t="s">
        <v>157</v>
      </c>
      <c r="Y214" s="67" t="s">
        <v>1641</v>
      </c>
    </row>
    <row r="215" spans="1:27" ht="270" x14ac:dyDescent="0.25">
      <c r="A215">
        <v>54</v>
      </c>
      <c r="B215" s="67" t="s">
        <v>1642</v>
      </c>
      <c r="C215" s="108">
        <v>43755</v>
      </c>
      <c r="D215" s="67" t="s">
        <v>1643</v>
      </c>
      <c r="E215" s="67" t="s">
        <v>1644</v>
      </c>
      <c r="F215" s="67" t="s">
        <v>1645</v>
      </c>
      <c r="G215" s="67" t="s">
        <v>1646</v>
      </c>
      <c r="H215" s="67" t="s">
        <v>6</v>
      </c>
      <c r="I215" s="67" t="s">
        <v>52</v>
      </c>
      <c r="J215" s="67" t="s">
        <v>139</v>
      </c>
      <c r="K215" s="67" t="s">
        <v>1398</v>
      </c>
      <c r="L215" s="67" t="s">
        <v>71</v>
      </c>
      <c r="M215" s="67" t="s">
        <v>111</v>
      </c>
      <c r="N215" s="67" t="s">
        <v>141</v>
      </c>
      <c r="O215" s="67" t="s">
        <v>142</v>
      </c>
      <c r="P215" s="67" t="s">
        <v>1647</v>
      </c>
      <c r="Q215" s="67" t="s">
        <v>1648</v>
      </c>
      <c r="R215" s="67" t="s">
        <v>145</v>
      </c>
      <c r="S215" s="67" t="s">
        <v>145</v>
      </c>
      <c r="T215" s="67" t="s">
        <v>170</v>
      </c>
      <c r="U215" s="67"/>
      <c r="V215" s="67" t="s">
        <v>170</v>
      </c>
      <c r="W215" s="67" t="s">
        <v>170</v>
      </c>
      <c r="X215" s="67" t="s">
        <v>170</v>
      </c>
      <c r="Y215" s="67" t="s">
        <v>170</v>
      </c>
    </row>
    <row r="216" spans="1:27" ht="330" x14ac:dyDescent="0.25">
      <c r="A216">
        <v>55</v>
      </c>
      <c r="B216" s="67" t="s">
        <v>1649</v>
      </c>
      <c r="C216" s="108">
        <v>43764</v>
      </c>
      <c r="D216" s="67" t="s">
        <v>1650</v>
      </c>
      <c r="E216" s="67" t="s">
        <v>1651</v>
      </c>
      <c r="F216" s="67" t="s">
        <v>1652</v>
      </c>
      <c r="G216" s="67" t="s">
        <v>1653</v>
      </c>
      <c r="H216" s="67" t="s">
        <v>8</v>
      </c>
      <c r="I216" s="67" t="s">
        <v>52</v>
      </c>
      <c r="J216" s="67" t="s">
        <v>139</v>
      </c>
      <c r="K216" s="67" t="s">
        <v>1654</v>
      </c>
      <c r="L216" s="67" t="s">
        <v>72</v>
      </c>
      <c r="M216" s="67" t="s">
        <v>111</v>
      </c>
      <c r="N216" s="67" t="s">
        <v>141</v>
      </c>
      <c r="O216" s="67" t="s">
        <v>142</v>
      </c>
      <c r="P216" s="67" t="s">
        <v>1655</v>
      </c>
      <c r="Q216" s="67" t="s">
        <v>1656</v>
      </c>
      <c r="R216" s="67" t="s">
        <v>145</v>
      </c>
      <c r="S216" s="67" t="s">
        <v>157</v>
      </c>
      <c r="T216" s="67" t="s">
        <v>145</v>
      </c>
      <c r="U216" s="67" t="s">
        <v>157</v>
      </c>
      <c r="V216" s="67" t="s">
        <v>157</v>
      </c>
      <c r="W216" s="67" t="s">
        <v>87</v>
      </c>
      <c r="X216" s="67" t="s">
        <v>170</v>
      </c>
      <c r="Y216" s="67" t="s">
        <v>170</v>
      </c>
      <c r="Z216" s="120" t="s">
        <v>1657</v>
      </c>
      <c r="AA216" s="67" t="s">
        <v>1658</v>
      </c>
    </row>
    <row r="217" spans="1:27" ht="165" x14ac:dyDescent="0.25">
      <c r="A217">
        <v>56</v>
      </c>
      <c r="B217" s="67" t="s">
        <v>1659</v>
      </c>
      <c r="C217" s="108">
        <v>43778</v>
      </c>
      <c r="D217" s="67" t="s">
        <v>1660</v>
      </c>
      <c r="E217" s="67" t="s">
        <v>1661</v>
      </c>
      <c r="F217" s="67" t="s">
        <v>1662</v>
      </c>
      <c r="G217" s="67" t="s">
        <v>1663</v>
      </c>
      <c r="H217" s="67" t="s">
        <v>16</v>
      </c>
      <c r="I217" s="67" t="s">
        <v>50</v>
      </c>
      <c r="J217" s="67" t="s">
        <v>139</v>
      </c>
      <c r="K217" s="67" t="s">
        <v>1664</v>
      </c>
      <c r="L217" s="67" t="s">
        <v>71</v>
      </c>
      <c r="M217" s="67" t="s">
        <v>111</v>
      </c>
      <c r="N217" s="67" t="s">
        <v>141</v>
      </c>
      <c r="O217" s="67" t="s">
        <v>142</v>
      </c>
      <c r="P217" s="67" t="s">
        <v>1665</v>
      </c>
      <c r="Q217" s="67" t="s">
        <v>1666</v>
      </c>
      <c r="R217" s="67" t="s">
        <v>145</v>
      </c>
      <c r="S217" s="67" t="s">
        <v>145</v>
      </c>
      <c r="T217" s="67" t="s">
        <v>145</v>
      </c>
      <c r="U217" s="67"/>
      <c r="V217" s="67" t="s">
        <v>145</v>
      </c>
      <c r="W217" s="67" t="s">
        <v>145</v>
      </c>
      <c r="X217" s="67" t="s">
        <v>145</v>
      </c>
      <c r="Y217" s="67" t="s">
        <v>145</v>
      </c>
    </row>
    <row r="218" spans="1:27" ht="405" x14ac:dyDescent="0.25">
      <c r="A218">
        <v>57</v>
      </c>
      <c r="B218" s="67" t="s">
        <v>1667</v>
      </c>
      <c r="C218" s="108">
        <v>43779</v>
      </c>
      <c r="D218" s="67" t="s">
        <v>1668</v>
      </c>
      <c r="E218" s="67" t="s">
        <v>1669</v>
      </c>
      <c r="F218" s="67" t="s">
        <v>1493</v>
      </c>
      <c r="G218" s="67" t="s">
        <v>674</v>
      </c>
      <c r="H218" s="67" t="s">
        <v>7</v>
      </c>
      <c r="I218" s="67" t="s">
        <v>52</v>
      </c>
      <c r="J218" s="67" t="s">
        <v>139</v>
      </c>
      <c r="K218" s="67" t="s">
        <v>1398</v>
      </c>
      <c r="L218" s="67" t="s">
        <v>71</v>
      </c>
      <c r="M218" s="67" t="s">
        <v>111</v>
      </c>
      <c r="N218" s="67" t="s">
        <v>141</v>
      </c>
      <c r="O218" s="67" t="s">
        <v>142</v>
      </c>
      <c r="P218" s="67" t="s">
        <v>1670</v>
      </c>
      <c r="Q218" s="67" t="s">
        <v>1671</v>
      </c>
      <c r="R218" s="67" t="s">
        <v>157</v>
      </c>
      <c r="S218" s="67" t="s">
        <v>145</v>
      </c>
      <c r="T218" s="67" t="s">
        <v>145</v>
      </c>
      <c r="U218" s="67" t="s">
        <v>157</v>
      </c>
      <c r="V218" s="67" t="s">
        <v>157</v>
      </c>
      <c r="W218" s="67" t="s">
        <v>61</v>
      </c>
      <c r="X218" s="67" t="s">
        <v>157</v>
      </c>
      <c r="Y218" s="67" t="s">
        <v>170</v>
      </c>
      <c r="Z218" s="107" t="s">
        <v>1672</v>
      </c>
      <c r="AA218" s="67" t="s">
        <v>1673</v>
      </c>
    </row>
    <row r="219" spans="1:27" ht="409.5" x14ac:dyDescent="0.25">
      <c r="A219">
        <v>58</v>
      </c>
      <c r="B219" s="67" t="s">
        <v>1674</v>
      </c>
      <c r="C219" s="108">
        <v>43781</v>
      </c>
      <c r="D219" s="67" t="s">
        <v>1675</v>
      </c>
      <c r="E219" s="67" t="s">
        <v>1377</v>
      </c>
      <c r="F219" s="67" t="s">
        <v>1342</v>
      </c>
      <c r="G219" s="67" t="s">
        <v>1342</v>
      </c>
      <c r="H219" s="67" t="s">
        <v>1342</v>
      </c>
      <c r="I219" s="67" t="s">
        <v>1342</v>
      </c>
      <c r="J219" s="67" t="s">
        <v>1342</v>
      </c>
      <c r="K219" s="67" t="s">
        <v>1342</v>
      </c>
      <c r="L219" s="67" t="s">
        <v>1342</v>
      </c>
      <c r="M219" s="67" t="s">
        <v>1342</v>
      </c>
      <c r="N219" s="67" t="s">
        <v>1342</v>
      </c>
      <c r="O219" s="67" t="s">
        <v>1342</v>
      </c>
      <c r="P219" s="67" t="s">
        <v>1676</v>
      </c>
      <c r="Q219" s="67" t="s">
        <v>1677</v>
      </c>
      <c r="R219" s="67" t="s">
        <v>145</v>
      </c>
      <c r="S219" s="67" t="s">
        <v>145</v>
      </c>
      <c r="T219" s="67" t="s">
        <v>170</v>
      </c>
      <c r="U219" s="67"/>
      <c r="V219" s="67" t="s">
        <v>170</v>
      </c>
      <c r="W219" s="67" t="s">
        <v>170</v>
      </c>
      <c r="X219" s="67" t="s">
        <v>170</v>
      </c>
      <c r="Y219" s="67" t="s">
        <v>170</v>
      </c>
    </row>
    <row r="220" spans="1:27" ht="409.5" x14ac:dyDescent="0.25">
      <c r="A220">
        <v>59</v>
      </c>
      <c r="B220" s="67" t="s">
        <v>1678</v>
      </c>
      <c r="C220" s="108">
        <v>43784</v>
      </c>
      <c r="D220" s="67" t="s">
        <v>1679</v>
      </c>
      <c r="E220" s="67" t="s">
        <v>1680</v>
      </c>
      <c r="F220" s="67" t="s">
        <v>1681</v>
      </c>
      <c r="G220" s="67" t="s">
        <v>711</v>
      </c>
      <c r="H220" s="67" t="s">
        <v>10</v>
      </c>
      <c r="I220" s="67" t="s">
        <v>807</v>
      </c>
      <c r="J220" s="67" t="s">
        <v>139</v>
      </c>
      <c r="K220" s="67" t="s">
        <v>1597</v>
      </c>
      <c r="L220" s="67" t="s">
        <v>71</v>
      </c>
      <c r="M220" s="67" t="s">
        <v>111</v>
      </c>
      <c r="N220" s="67" t="s">
        <v>141</v>
      </c>
      <c r="O220" s="67" t="s">
        <v>142</v>
      </c>
      <c r="P220" s="67" t="s">
        <v>1682</v>
      </c>
      <c r="Q220" s="67" t="s">
        <v>1683</v>
      </c>
      <c r="R220" s="67" t="s">
        <v>157</v>
      </c>
      <c r="S220" s="67" t="s">
        <v>157</v>
      </c>
      <c r="T220" s="67" t="s">
        <v>170</v>
      </c>
      <c r="U220" s="67"/>
      <c r="V220" s="67" t="s">
        <v>170</v>
      </c>
      <c r="W220" s="67" t="s">
        <v>170</v>
      </c>
      <c r="X220" s="67" t="s">
        <v>157</v>
      </c>
      <c r="Y220" s="67" t="s">
        <v>170</v>
      </c>
    </row>
    <row r="221" spans="1:27" ht="409.5" x14ac:dyDescent="0.25">
      <c r="A221">
        <v>60</v>
      </c>
      <c r="B221" s="67" t="s">
        <v>1684</v>
      </c>
      <c r="C221" s="108">
        <v>43786</v>
      </c>
      <c r="D221" s="67" t="s">
        <v>1685</v>
      </c>
      <c r="E221" s="67" t="s">
        <v>1686</v>
      </c>
      <c r="F221" s="67" t="s">
        <v>1467</v>
      </c>
      <c r="G221" s="67" t="s">
        <v>1687</v>
      </c>
      <c r="H221" s="67" t="s">
        <v>17</v>
      </c>
      <c r="I221" s="67" t="s">
        <v>807</v>
      </c>
      <c r="J221" s="67" t="s">
        <v>139</v>
      </c>
      <c r="K221" s="67" t="s">
        <v>1688</v>
      </c>
      <c r="L221" s="67" t="s">
        <v>71</v>
      </c>
      <c r="M221" s="67" t="s">
        <v>111</v>
      </c>
      <c r="N221" s="67" t="s">
        <v>306</v>
      </c>
      <c r="O221" s="67" t="s">
        <v>248</v>
      </c>
      <c r="P221" s="67" t="s">
        <v>1689</v>
      </c>
      <c r="Q221" s="67" t="s">
        <v>1690</v>
      </c>
      <c r="R221" s="67" t="s">
        <v>170</v>
      </c>
      <c r="S221" s="67" t="s">
        <v>157</v>
      </c>
      <c r="T221" s="67" t="s">
        <v>170</v>
      </c>
      <c r="U221" s="67"/>
      <c r="V221" s="67" t="s">
        <v>145</v>
      </c>
      <c r="W221" s="67" t="s">
        <v>1691</v>
      </c>
      <c r="X221" s="67" t="s">
        <v>157</v>
      </c>
      <c r="Y221" s="67" t="s">
        <v>170</v>
      </c>
    </row>
    <row r="222" spans="1:27" ht="255" x14ac:dyDescent="0.25">
      <c r="A222">
        <v>61</v>
      </c>
      <c r="B222" s="67" t="s">
        <v>1692</v>
      </c>
      <c r="C222" s="108">
        <v>43789</v>
      </c>
      <c r="D222" s="67" t="s">
        <v>1693</v>
      </c>
      <c r="E222" s="67" t="s">
        <v>1694</v>
      </c>
      <c r="F222" s="67" t="s">
        <v>1695</v>
      </c>
      <c r="G222" s="67" t="s">
        <v>928</v>
      </c>
      <c r="H222" s="67" t="s">
        <v>8</v>
      </c>
      <c r="I222" s="67" t="s">
        <v>52</v>
      </c>
      <c r="J222" s="67" t="s">
        <v>139</v>
      </c>
      <c r="K222" s="67" t="s">
        <v>1696</v>
      </c>
      <c r="L222" s="67" t="s">
        <v>71</v>
      </c>
      <c r="M222" s="67" t="s">
        <v>111</v>
      </c>
      <c r="N222" s="67" t="s">
        <v>523</v>
      </c>
      <c r="O222" s="67" t="s">
        <v>142</v>
      </c>
      <c r="P222" s="67" t="s">
        <v>1697</v>
      </c>
      <c r="Q222" s="67" t="s">
        <v>1698</v>
      </c>
      <c r="R222" s="67" t="s">
        <v>145</v>
      </c>
      <c r="S222" s="67" t="s">
        <v>170</v>
      </c>
      <c r="T222" s="67" t="s">
        <v>170</v>
      </c>
      <c r="U222" s="67"/>
      <c r="V222" s="67" t="s">
        <v>170</v>
      </c>
      <c r="W222" s="67" t="s">
        <v>170</v>
      </c>
      <c r="X222" s="67" t="s">
        <v>170</v>
      </c>
      <c r="Y222" s="67" t="s">
        <v>170</v>
      </c>
    </row>
    <row r="223" spans="1:27" ht="315" x14ac:dyDescent="0.25">
      <c r="A223">
        <v>62</v>
      </c>
      <c r="B223" s="67" t="s">
        <v>1699</v>
      </c>
      <c r="C223" s="108">
        <v>43789</v>
      </c>
      <c r="D223" s="67" t="s">
        <v>1700</v>
      </c>
      <c r="E223" s="67" t="s">
        <v>1701</v>
      </c>
      <c r="F223" s="67" t="s">
        <v>1702</v>
      </c>
      <c r="G223" s="67" t="s">
        <v>1308</v>
      </c>
      <c r="H223" s="67" t="s">
        <v>18</v>
      </c>
      <c r="I223" s="67" t="s">
        <v>50</v>
      </c>
      <c r="J223" s="67" t="s">
        <v>139</v>
      </c>
      <c r="K223" s="67" t="s">
        <v>1703</v>
      </c>
      <c r="L223" s="67" t="s">
        <v>71</v>
      </c>
      <c r="M223" s="67" t="s">
        <v>111</v>
      </c>
      <c r="N223" s="67" t="s">
        <v>523</v>
      </c>
      <c r="O223" s="67" t="s">
        <v>142</v>
      </c>
      <c r="P223" s="67" t="s">
        <v>1704</v>
      </c>
      <c r="Q223" s="67" t="s">
        <v>1705</v>
      </c>
      <c r="R223" s="67" t="s">
        <v>157</v>
      </c>
      <c r="S223" s="67" t="s">
        <v>157</v>
      </c>
      <c r="T223" s="67" t="s">
        <v>170</v>
      </c>
      <c r="U223" s="67"/>
      <c r="V223" s="67" t="s">
        <v>170</v>
      </c>
      <c r="W223" s="67" t="s">
        <v>1706</v>
      </c>
      <c r="X223" s="67" t="s">
        <v>157</v>
      </c>
      <c r="Y223" s="67" t="s">
        <v>1707</v>
      </c>
    </row>
    <row r="224" spans="1:27" ht="210" x14ac:dyDescent="0.25">
      <c r="A224">
        <v>63</v>
      </c>
      <c r="B224" s="67" t="s">
        <v>1708</v>
      </c>
      <c r="C224" s="108">
        <v>43791</v>
      </c>
      <c r="D224" s="67" t="s">
        <v>1709</v>
      </c>
      <c r="E224" s="67" t="s">
        <v>1710</v>
      </c>
      <c r="F224" s="67" t="s">
        <v>1100</v>
      </c>
      <c r="G224" s="67" t="s">
        <v>1101</v>
      </c>
      <c r="H224" s="67" t="s">
        <v>6</v>
      </c>
      <c r="I224" s="67" t="s">
        <v>52</v>
      </c>
      <c r="J224" s="67" t="s">
        <v>139</v>
      </c>
      <c r="K224" s="67" t="s">
        <v>1597</v>
      </c>
      <c r="L224" s="67" t="s">
        <v>71</v>
      </c>
      <c r="M224" s="67" t="s">
        <v>111</v>
      </c>
      <c r="N224" s="67" t="s">
        <v>141</v>
      </c>
      <c r="O224" s="67" t="s">
        <v>142</v>
      </c>
      <c r="P224" s="67" t="s">
        <v>1711</v>
      </c>
      <c r="Q224" s="67" t="s">
        <v>1712</v>
      </c>
      <c r="R224" s="67" t="s">
        <v>145</v>
      </c>
      <c r="S224" s="67" t="s">
        <v>145</v>
      </c>
      <c r="T224" s="67" t="s">
        <v>145</v>
      </c>
      <c r="U224" s="67"/>
      <c r="V224" s="67" t="s">
        <v>145</v>
      </c>
      <c r="W224" s="67" t="s">
        <v>145</v>
      </c>
      <c r="X224" s="67" t="s">
        <v>145</v>
      </c>
      <c r="Y224" s="67" t="s">
        <v>145</v>
      </c>
    </row>
    <row r="225" spans="1:25" ht="150" x14ac:dyDescent="0.25">
      <c r="A225">
        <v>64</v>
      </c>
      <c r="B225" s="67" t="s">
        <v>1713</v>
      </c>
      <c r="C225" s="108">
        <v>43791</v>
      </c>
      <c r="D225" s="67" t="s">
        <v>1403</v>
      </c>
      <c r="E225" s="67" t="s">
        <v>1714</v>
      </c>
      <c r="F225" s="67" t="s">
        <v>170</v>
      </c>
      <c r="G225" s="67" t="s">
        <v>1715</v>
      </c>
      <c r="H225" s="67" t="s">
        <v>54</v>
      </c>
      <c r="I225" s="67" t="s">
        <v>54</v>
      </c>
      <c r="J225" s="67" t="s">
        <v>153</v>
      </c>
      <c r="K225" s="67" t="s">
        <v>1124</v>
      </c>
      <c r="L225" s="67" t="s">
        <v>71</v>
      </c>
      <c r="M225" s="67" t="s">
        <v>111</v>
      </c>
      <c r="N225" s="67" t="s">
        <v>141</v>
      </c>
      <c r="O225" s="67" t="s">
        <v>142</v>
      </c>
      <c r="P225" s="67" t="s">
        <v>1716</v>
      </c>
      <c r="Q225" s="67" t="s">
        <v>1717</v>
      </c>
      <c r="R225" s="67" t="s">
        <v>145</v>
      </c>
      <c r="S225" s="67" t="s">
        <v>145</v>
      </c>
      <c r="T225" s="67" t="s">
        <v>145</v>
      </c>
      <c r="U225" s="67"/>
      <c r="V225" s="67" t="s">
        <v>145</v>
      </c>
      <c r="W225" s="67" t="s">
        <v>145</v>
      </c>
      <c r="X225" s="67" t="s">
        <v>145</v>
      </c>
      <c r="Y225" s="67" t="s">
        <v>145</v>
      </c>
    </row>
    <row r="226" spans="1:25" ht="300" x14ac:dyDescent="0.25">
      <c r="A226">
        <v>65</v>
      </c>
      <c r="B226" s="67" t="s">
        <v>1718</v>
      </c>
      <c r="C226" s="108">
        <v>43803</v>
      </c>
      <c r="D226" s="67" t="s">
        <v>1719</v>
      </c>
      <c r="E226" s="67" t="s">
        <v>1720</v>
      </c>
      <c r="F226" s="67" t="s">
        <v>1721</v>
      </c>
      <c r="G226" s="67" t="s">
        <v>215</v>
      </c>
      <c r="H226" s="67" t="s">
        <v>5</v>
      </c>
      <c r="I226" s="67" t="s">
        <v>53</v>
      </c>
      <c r="J226" s="67" t="s">
        <v>139</v>
      </c>
      <c r="K226" s="67" t="s">
        <v>1722</v>
      </c>
      <c r="L226" s="67" t="s">
        <v>71</v>
      </c>
      <c r="M226" s="67" t="s">
        <v>111</v>
      </c>
      <c r="N226" s="67" t="s">
        <v>523</v>
      </c>
      <c r="O226" s="67" t="s">
        <v>675</v>
      </c>
      <c r="P226" s="67" t="s">
        <v>1723</v>
      </c>
      <c r="Q226" s="67" t="s">
        <v>1724</v>
      </c>
      <c r="R226" s="67" t="s">
        <v>157</v>
      </c>
      <c r="S226" s="67" t="s">
        <v>157</v>
      </c>
      <c r="T226" s="67" t="s">
        <v>145</v>
      </c>
      <c r="U226" s="67"/>
      <c r="V226" s="67" t="s">
        <v>145</v>
      </c>
      <c r="W226" s="67" t="s">
        <v>145</v>
      </c>
      <c r="X226" s="67" t="s">
        <v>145</v>
      </c>
      <c r="Y226" s="67" t="s">
        <v>145</v>
      </c>
    </row>
    <row r="227" spans="1:25" ht="210" x14ac:dyDescent="0.25">
      <c r="A227">
        <v>66</v>
      </c>
      <c r="B227" s="67" t="s">
        <v>1725</v>
      </c>
      <c r="C227" s="108">
        <v>43806</v>
      </c>
      <c r="D227" s="67" t="s">
        <v>1726</v>
      </c>
      <c r="E227" s="67" t="s">
        <v>1727</v>
      </c>
      <c r="F227" s="67" t="s">
        <v>1728</v>
      </c>
      <c r="G227" s="67" t="s">
        <v>1729</v>
      </c>
      <c r="H227" s="67" t="s">
        <v>5</v>
      </c>
      <c r="I227" s="67" t="s">
        <v>53</v>
      </c>
      <c r="J227" s="67" t="s">
        <v>139</v>
      </c>
      <c r="K227" s="67" t="s">
        <v>1722</v>
      </c>
      <c r="L227" s="67" t="s">
        <v>71</v>
      </c>
      <c r="M227" s="67" t="s">
        <v>111</v>
      </c>
      <c r="N227" s="67" t="s">
        <v>523</v>
      </c>
      <c r="O227" s="67" t="s">
        <v>248</v>
      </c>
      <c r="P227" s="67" t="s">
        <v>1730</v>
      </c>
      <c r="Q227" s="67" t="s">
        <v>1731</v>
      </c>
      <c r="R227" s="67" t="s">
        <v>158</v>
      </c>
      <c r="S227" s="67" t="s">
        <v>145</v>
      </c>
      <c r="T227" s="67" t="s">
        <v>145</v>
      </c>
      <c r="U227" s="67"/>
      <c r="V227" s="67" t="s">
        <v>145</v>
      </c>
      <c r="W227" s="67" t="s">
        <v>145</v>
      </c>
      <c r="X227" s="67" t="s">
        <v>145</v>
      </c>
      <c r="Y227" s="67" t="s">
        <v>145</v>
      </c>
    </row>
    <row r="228" spans="1:25" ht="285" x14ac:dyDescent="0.25">
      <c r="A228">
        <v>67</v>
      </c>
      <c r="B228" s="67" t="s">
        <v>1732</v>
      </c>
      <c r="C228" s="108">
        <v>43810</v>
      </c>
      <c r="D228" s="67" t="s">
        <v>1733</v>
      </c>
      <c r="E228" s="67" t="s">
        <v>1734</v>
      </c>
      <c r="F228" s="67" t="s">
        <v>1728</v>
      </c>
      <c r="G228" s="67" t="s">
        <v>1729</v>
      </c>
      <c r="H228" s="67" t="s">
        <v>5</v>
      </c>
      <c r="I228" s="67" t="s">
        <v>53</v>
      </c>
      <c r="J228" s="67" t="s">
        <v>139</v>
      </c>
      <c r="K228" s="67" t="s">
        <v>1722</v>
      </c>
      <c r="L228" s="67" t="s">
        <v>71</v>
      </c>
      <c r="M228" s="67" t="s">
        <v>111</v>
      </c>
      <c r="N228" s="67" t="s">
        <v>523</v>
      </c>
      <c r="O228" s="67" t="s">
        <v>248</v>
      </c>
      <c r="P228" s="67" t="s">
        <v>1735</v>
      </c>
      <c r="Q228" s="67" t="s">
        <v>1736</v>
      </c>
      <c r="R228" s="67" t="s">
        <v>157</v>
      </c>
      <c r="S228" s="67" t="s">
        <v>157</v>
      </c>
      <c r="T228" s="67" t="s">
        <v>170</v>
      </c>
      <c r="U228" s="67"/>
      <c r="V228" s="67" t="s">
        <v>170</v>
      </c>
      <c r="W228" s="67" t="s">
        <v>170</v>
      </c>
      <c r="X228" s="67" t="s">
        <v>157</v>
      </c>
      <c r="Y228" s="67" t="s">
        <v>1737</v>
      </c>
    </row>
    <row r="229" spans="1:25" ht="195" x14ac:dyDescent="0.25">
      <c r="A229">
        <v>68</v>
      </c>
      <c r="B229" s="67" t="s">
        <v>1738</v>
      </c>
      <c r="C229" s="108">
        <v>43813</v>
      </c>
      <c r="D229" s="67" t="s">
        <v>1739</v>
      </c>
      <c r="E229" s="67" t="s">
        <v>3</v>
      </c>
      <c r="F229" s="67" t="s">
        <v>3</v>
      </c>
      <c r="G229" s="67" t="s">
        <v>3</v>
      </c>
      <c r="H229" s="67" t="s">
        <v>3</v>
      </c>
      <c r="I229" s="67" t="s">
        <v>3</v>
      </c>
      <c r="J229" s="67" t="s">
        <v>3</v>
      </c>
      <c r="K229" s="67" t="s">
        <v>3</v>
      </c>
      <c r="L229" s="67" t="s">
        <v>3</v>
      </c>
      <c r="M229" s="67" t="s">
        <v>3</v>
      </c>
      <c r="N229" s="67" t="s">
        <v>3</v>
      </c>
      <c r="O229" s="67" t="s">
        <v>3</v>
      </c>
      <c r="P229" s="67" t="s">
        <v>1740</v>
      </c>
      <c r="Q229" s="67" t="s">
        <v>1741</v>
      </c>
      <c r="R229" s="67" t="s">
        <v>157</v>
      </c>
      <c r="S229" s="67" t="s">
        <v>145</v>
      </c>
      <c r="T229" s="67" t="s">
        <v>170</v>
      </c>
      <c r="U229" s="67"/>
      <c r="V229" s="67" t="s">
        <v>170</v>
      </c>
      <c r="W229" s="67" t="s">
        <v>170</v>
      </c>
      <c r="X229" s="67" t="s">
        <v>218</v>
      </c>
      <c r="Y229" s="67" t="s">
        <v>1742</v>
      </c>
    </row>
    <row r="230" spans="1:25" ht="315" x14ac:dyDescent="0.25">
      <c r="A230">
        <v>69</v>
      </c>
      <c r="B230" s="67" t="s">
        <v>1743</v>
      </c>
      <c r="C230" s="108">
        <v>43816</v>
      </c>
      <c r="D230" s="67" t="s">
        <v>183</v>
      </c>
      <c r="E230" s="67" t="s">
        <v>1744</v>
      </c>
      <c r="F230" s="67" t="s">
        <v>1745</v>
      </c>
      <c r="G230" s="67" t="s">
        <v>1746</v>
      </c>
      <c r="H230" s="67" t="s">
        <v>5</v>
      </c>
      <c r="I230" s="67" t="s">
        <v>53</v>
      </c>
      <c r="J230" s="67" t="s">
        <v>139</v>
      </c>
      <c r="K230" s="67" t="s">
        <v>1747</v>
      </c>
      <c r="L230" s="67" t="s">
        <v>71</v>
      </c>
      <c r="M230" s="67" t="s">
        <v>111</v>
      </c>
      <c r="N230" s="67" t="s">
        <v>306</v>
      </c>
      <c r="O230" s="67" t="s">
        <v>142</v>
      </c>
      <c r="P230" s="67" t="s">
        <v>1748</v>
      </c>
      <c r="Q230" s="67" t="s">
        <v>1749</v>
      </c>
      <c r="R230" s="67" t="s">
        <v>157</v>
      </c>
      <c r="S230" s="67" t="s">
        <v>170</v>
      </c>
      <c r="T230" s="67" t="s">
        <v>170</v>
      </c>
      <c r="U230" s="67"/>
      <c r="V230" s="67" t="s">
        <v>170</v>
      </c>
      <c r="W230" s="67" t="s">
        <v>170</v>
      </c>
      <c r="X230" s="67" t="s">
        <v>157</v>
      </c>
      <c r="Y230" s="67" t="s">
        <v>170</v>
      </c>
    </row>
    <row r="231" spans="1:25" ht="135" x14ac:dyDescent="0.25">
      <c r="A231">
        <v>70</v>
      </c>
      <c r="B231" s="67" t="s">
        <v>1750</v>
      </c>
      <c r="C231" s="108">
        <v>43494</v>
      </c>
      <c r="D231" s="67" t="s">
        <v>1751</v>
      </c>
      <c r="E231" s="67" t="s">
        <v>3</v>
      </c>
      <c r="F231" s="67" t="s">
        <v>3</v>
      </c>
      <c r="G231" s="67" t="s">
        <v>3</v>
      </c>
      <c r="H231" s="67" t="s">
        <v>3</v>
      </c>
      <c r="I231" s="67" t="s">
        <v>3</v>
      </c>
      <c r="J231" s="67" t="s">
        <v>3</v>
      </c>
      <c r="K231" s="67" t="s">
        <v>3</v>
      </c>
      <c r="L231" s="67" t="s">
        <v>3</v>
      </c>
      <c r="M231" s="67" t="s">
        <v>3</v>
      </c>
      <c r="N231" s="67" t="s">
        <v>3</v>
      </c>
      <c r="O231" s="67" t="s">
        <v>3</v>
      </c>
      <c r="P231" s="67" t="s">
        <v>1752</v>
      </c>
      <c r="Q231" s="67" t="s">
        <v>1753</v>
      </c>
      <c r="R231" s="67" t="s">
        <v>145</v>
      </c>
      <c r="S231" s="67" t="s">
        <v>145</v>
      </c>
      <c r="T231" s="67" t="s">
        <v>145</v>
      </c>
      <c r="U231" s="67"/>
      <c r="V231" s="67" t="s">
        <v>145</v>
      </c>
      <c r="W231" s="67" t="s">
        <v>145</v>
      </c>
      <c r="X231" s="67" t="s">
        <v>157</v>
      </c>
      <c r="Y231" s="67" t="s">
        <v>1754</v>
      </c>
    </row>
  </sheetData>
  <autoFilter ref="B1:AC1" xr:uid="{DF9C84AA-5F8E-4B43-AB89-8E39211F7410}"/>
  <pageMargins left="0.511811024" right="0.511811024" top="0.78740157499999996" bottom="0.78740157499999996" header="0.31496062000000002" footer="0.3149606200000000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ED9EF2-BC72-4793-88BE-9BFE914483FA}">
  <dimension ref="A1:H96"/>
  <sheetViews>
    <sheetView workbookViewId="0">
      <selection activeCell="D7" sqref="D7"/>
    </sheetView>
  </sheetViews>
  <sheetFormatPr defaultRowHeight="15" x14ac:dyDescent="0.25"/>
  <cols>
    <col min="1" max="1" width="34.7109375" customWidth="1"/>
    <col min="2" max="2" width="13.28515625" customWidth="1"/>
    <col min="3" max="3" width="14.7109375" customWidth="1"/>
    <col min="4" max="4" width="36.140625" customWidth="1"/>
    <col min="6" max="6" width="49.7109375" customWidth="1"/>
  </cols>
  <sheetData>
    <row r="1" spans="1:8" ht="19.5" customHeight="1" thickBot="1" x14ac:dyDescent="0.3">
      <c r="A1" s="130" t="s">
        <v>116</v>
      </c>
      <c r="B1" s="130" t="s">
        <v>117</v>
      </c>
      <c r="C1" s="130" t="s">
        <v>119</v>
      </c>
      <c r="D1" s="131" t="s">
        <v>1829</v>
      </c>
      <c r="E1" s="130" t="s">
        <v>113</v>
      </c>
      <c r="F1" s="131" t="s">
        <v>1830</v>
      </c>
    </row>
    <row r="2" spans="1:8" ht="19.5" customHeight="1" x14ac:dyDescent="0.25">
      <c r="A2" s="124" t="s">
        <v>1758</v>
      </c>
      <c r="B2" s="124" t="s">
        <v>71</v>
      </c>
      <c r="C2" s="124" t="s">
        <v>306</v>
      </c>
      <c r="E2" s="124" t="s">
        <v>11</v>
      </c>
      <c r="F2" s="125" t="s">
        <v>306</v>
      </c>
    </row>
    <row r="3" spans="1:8" ht="19.5" customHeight="1" x14ac:dyDescent="0.25">
      <c r="A3" s="126" t="s">
        <v>1759</v>
      </c>
      <c r="B3" s="126" t="s">
        <v>71</v>
      </c>
      <c r="C3" s="126" t="s">
        <v>523</v>
      </c>
      <c r="D3" s="126" t="s">
        <v>1759</v>
      </c>
      <c r="E3" s="126" t="s">
        <v>6</v>
      </c>
      <c r="F3" s="125" t="s">
        <v>1760</v>
      </c>
    </row>
    <row r="4" spans="1:8" ht="19.5" customHeight="1" x14ac:dyDescent="0.25">
      <c r="A4" s="126" t="s">
        <v>271</v>
      </c>
      <c r="B4" s="126" t="s">
        <v>72</v>
      </c>
      <c r="C4" s="126" t="s">
        <v>141</v>
      </c>
      <c r="D4" s="125" t="s">
        <v>271</v>
      </c>
      <c r="E4" s="126" t="s">
        <v>15</v>
      </c>
      <c r="F4" s="125" t="s">
        <v>1761</v>
      </c>
    </row>
    <row r="5" spans="1:8" ht="19.5" customHeight="1" x14ac:dyDescent="0.25">
      <c r="A5" s="126" t="s">
        <v>1762</v>
      </c>
      <c r="B5" s="126" t="s">
        <v>71</v>
      </c>
      <c r="C5" s="126" t="s">
        <v>141</v>
      </c>
      <c r="D5" s="127" t="s">
        <v>1763</v>
      </c>
      <c r="E5" s="126" t="s">
        <v>6</v>
      </c>
      <c r="F5" s="125" t="s">
        <v>1760</v>
      </c>
    </row>
    <row r="6" spans="1:8" ht="19.5" customHeight="1" x14ac:dyDescent="0.25">
      <c r="A6" s="126" t="s">
        <v>1764</v>
      </c>
      <c r="B6" s="126" t="s">
        <v>71</v>
      </c>
      <c r="C6" s="126" t="s">
        <v>141</v>
      </c>
      <c r="D6" s="127" t="s">
        <v>1765</v>
      </c>
      <c r="E6" s="126" t="s">
        <v>6</v>
      </c>
      <c r="F6" s="128" t="s">
        <v>1760</v>
      </c>
    </row>
    <row r="7" spans="1:8" ht="19.5" customHeight="1" x14ac:dyDescent="0.25">
      <c r="A7" s="126" t="s">
        <v>1766</v>
      </c>
      <c r="B7" s="126" t="s">
        <v>71</v>
      </c>
      <c r="C7" s="126" t="s">
        <v>141</v>
      </c>
      <c r="D7" s="127" t="s">
        <v>1766</v>
      </c>
      <c r="E7" s="126" t="s">
        <v>10</v>
      </c>
      <c r="F7" s="128" t="s">
        <v>1767</v>
      </c>
      <c r="H7" s="127" t="s">
        <v>1831</v>
      </c>
    </row>
    <row r="8" spans="1:8" ht="19.5" customHeight="1" x14ac:dyDescent="0.25">
      <c r="A8" s="126" t="s">
        <v>1768</v>
      </c>
      <c r="B8" s="126" t="s">
        <v>71</v>
      </c>
      <c r="C8" s="126" t="s">
        <v>141</v>
      </c>
      <c r="D8" s="127" t="s">
        <v>1768</v>
      </c>
      <c r="E8" s="126" t="s">
        <v>20</v>
      </c>
      <c r="F8" s="128" t="s">
        <v>1769</v>
      </c>
    </row>
    <row r="9" spans="1:8" ht="19.5" customHeight="1" x14ac:dyDescent="0.25">
      <c r="A9" s="126" t="s">
        <v>1770</v>
      </c>
      <c r="B9" s="126" t="s">
        <v>71</v>
      </c>
      <c r="C9" s="126" t="s">
        <v>141</v>
      </c>
      <c r="D9" s="127" t="s">
        <v>1770</v>
      </c>
      <c r="E9" s="126" t="s">
        <v>25</v>
      </c>
      <c r="F9" s="128" t="s">
        <v>1771</v>
      </c>
    </row>
    <row r="10" spans="1:8" ht="19.5" customHeight="1" x14ac:dyDescent="0.25">
      <c r="A10" s="126" t="s">
        <v>1318</v>
      </c>
      <c r="B10" s="126" t="s">
        <v>71</v>
      </c>
      <c r="C10" s="126" t="s">
        <v>141</v>
      </c>
      <c r="D10" s="127" t="s">
        <v>1318</v>
      </c>
      <c r="E10" s="126" t="s">
        <v>14</v>
      </c>
      <c r="F10" s="128" t="s">
        <v>1772</v>
      </c>
    </row>
    <row r="11" spans="1:8" ht="19.5" customHeight="1" x14ac:dyDescent="0.25">
      <c r="A11" s="126" t="s">
        <v>1773</v>
      </c>
      <c r="B11" s="126" t="s">
        <v>71</v>
      </c>
      <c r="C11" s="126" t="s">
        <v>141</v>
      </c>
      <c r="D11" s="127" t="s">
        <v>1773</v>
      </c>
      <c r="E11" s="126" t="s">
        <v>9</v>
      </c>
      <c r="F11" s="128" t="s">
        <v>1774</v>
      </c>
    </row>
    <row r="12" spans="1:8" ht="19.5" customHeight="1" x14ac:dyDescent="0.25">
      <c r="A12" s="126" t="s">
        <v>1775</v>
      </c>
      <c r="B12" s="126" t="s">
        <v>71</v>
      </c>
      <c r="C12" s="126" t="s">
        <v>141</v>
      </c>
      <c r="D12" s="127" t="s">
        <v>1775</v>
      </c>
      <c r="E12" s="126" t="s">
        <v>17</v>
      </c>
      <c r="F12" s="128" t="s">
        <v>1776</v>
      </c>
    </row>
    <row r="13" spans="1:8" ht="19.5" customHeight="1" x14ac:dyDescent="0.25">
      <c r="A13" s="126" t="s">
        <v>1777</v>
      </c>
      <c r="B13" s="126" t="s">
        <v>71</v>
      </c>
      <c r="C13" s="126" t="s">
        <v>141</v>
      </c>
      <c r="D13" s="127" t="s">
        <v>1777</v>
      </c>
      <c r="E13" s="126" t="s">
        <v>8</v>
      </c>
      <c r="F13" s="128" t="s">
        <v>1778</v>
      </c>
    </row>
    <row r="14" spans="1:8" ht="19.5" customHeight="1" x14ac:dyDescent="0.25">
      <c r="A14" s="126" t="s">
        <v>1779</v>
      </c>
      <c r="B14" s="126" t="s">
        <v>71</v>
      </c>
      <c r="C14" s="126" t="s">
        <v>141</v>
      </c>
      <c r="D14" s="127" t="s">
        <v>1779</v>
      </c>
      <c r="E14" s="126" t="s">
        <v>6</v>
      </c>
      <c r="F14" s="128" t="s">
        <v>1760</v>
      </c>
    </row>
    <row r="15" spans="1:8" ht="19.5" customHeight="1" x14ac:dyDescent="0.25">
      <c r="A15" s="126" t="s">
        <v>1297</v>
      </c>
      <c r="B15" s="126" t="s">
        <v>71</v>
      </c>
      <c r="C15" s="126" t="s">
        <v>141</v>
      </c>
      <c r="D15" s="127" t="s">
        <v>1297</v>
      </c>
      <c r="E15" s="126" t="s">
        <v>5</v>
      </c>
      <c r="F15" s="128" t="s">
        <v>1780</v>
      </c>
    </row>
    <row r="16" spans="1:8" ht="19.5" customHeight="1" x14ac:dyDescent="0.25">
      <c r="A16" s="126" t="s">
        <v>1775</v>
      </c>
      <c r="B16" s="126" t="s">
        <v>71</v>
      </c>
      <c r="C16" s="126" t="s">
        <v>141</v>
      </c>
      <c r="D16" s="127" t="s">
        <v>1775</v>
      </c>
      <c r="E16" s="126" t="s">
        <v>17</v>
      </c>
      <c r="F16" s="128" t="s">
        <v>1776</v>
      </c>
    </row>
    <row r="17" spans="1:6" ht="19.5" customHeight="1" x14ac:dyDescent="0.25">
      <c r="A17" s="126" t="s">
        <v>1297</v>
      </c>
      <c r="B17" s="126" t="s">
        <v>71</v>
      </c>
      <c r="C17" s="126" t="s">
        <v>141</v>
      </c>
      <c r="D17" s="127" t="s">
        <v>1297</v>
      </c>
      <c r="E17" s="126" t="s">
        <v>5</v>
      </c>
      <c r="F17" s="128" t="s">
        <v>1780</v>
      </c>
    </row>
    <row r="18" spans="1:6" ht="19.5" customHeight="1" x14ac:dyDescent="0.25">
      <c r="A18" s="126" t="s">
        <v>1781</v>
      </c>
      <c r="B18" s="126" t="s">
        <v>71</v>
      </c>
      <c r="C18" s="126" t="s">
        <v>141</v>
      </c>
      <c r="D18" s="127" t="s">
        <v>1781</v>
      </c>
      <c r="E18" s="126" t="s">
        <v>21</v>
      </c>
      <c r="F18" s="128" t="s">
        <v>1782</v>
      </c>
    </row>
    <row r="19" spans="1:6" ht="19.5" customHeight="1" x14ac:dyDescent="0.25">
      <c r="A19" s="126" t="s">
        <v>1773</v>
      </c>
      <c r="B19" s="126" t="s">
        <v>71</v>
      </c>
      <c r="C19" s="126" t="s">
        <v>141</v>
      </c>
      <c r="D19" s="127" t="s">
        <v>1773</v>
      </c>
      <c r="E19" s="126" t="s">
        <v>9</v>
      </c>
      <c r="F19" s="128" t="s">
        <v>1774</v>
      </c>
    </row>
    <row r="20" spans="1:6" ht="19.5" customHeight="1" x14ac:dyDescent="0.25">
      <c r="A20" s="126" t="s">
        <v>1763</v>
      </c>
      <c r="B20" s="126" t="s">
        <v>71</v>
      </c>
      <c r="C20" s="126" t="s">
        <v>141</v>
      </c>
      <c r="D20" s="127" t="s">
        <v>1763</v>
      </c>
      <c r="E20" s="126" t="s">
        <v>6</v>
      </c>
      <c r="F20" s="128" t="s">
        <v>1760</v>
      </c>
    </row>
    <row r="21" spans="1:6" ht="19.5" customHeight="1" x14ac:dyDescent="0.25">
      <c r="A21" s="126" t="s">
        <v>1297</v>
      </c>
      <c r="B21" s="126" t="s">
        <v>71</v>
      </c>
      <c r="C21" s="126" t="s">
        <v>141</v>
      </c>
      <c r="D21" s="127" t="s">
        <v>1297</v>
      </c>
      <c r="E21" s="126" t="s">
        <v>5</v>
      </c>
      <c r="F21" s="128" t="s">
        <v>1780</v>
      </c>
    </row>
    <row r="22" spans="1:6" ht="19.5" customHeight="1" x14ac:dyDescent="0.25">
      <c r="A22" s="126" t="s">
        <v>1783</v>
      </c>
      <c r="B22" s="126" t="s">
        <v>71</v>
      </c>
      <c r="C22" s="126" t="s">
        <v>141</v>
      </c>
      <c r="D22" s="127" t="s">
        <v>1783</v>
      </c>
      <c r="E22" s="126" t="s">
        <v>22</v>
      </c>
      <c r="F22" s="128" t="s">
        <v>1784</v>
      </c>
    </row>
    <row r="23" spans="1:6" ht="19.5" customHeight="1" x14ac:dyDescent="0.25">
      <c r="A23" s="126" t="s">
        <v>1785</v>
      </c>
      <c r="B23" s="126" t="s">
        <v>71</v>
      </c>
      <c r="C23" s="126" t="s">
        <v>141</v>
      </c>
      <c r="D23" s="127" t="s">
        <v>1785</v>
      </c>
      <c r="E23" s="126" t="s">
        <v>13</v>
      </c>
      <c r="F23" s="128" t="s">
        <v>1786</v>
      </c>
    </row>
    <row r="24" spans="1:6" ht="19.5" customHeight="1" x14ac:dyDescent="0.25">
      <c r="A24" s="126" t="s">
        <v>1787</v>
      </c>
      <c r="B24" s="126" t="s">
        <v>71</v>
      </c>
      <c r="C24" s="126" t="s">
        <v>141</v>
      </c>
      <c r="D24" s="127" t="s">
        <v>1787</v>
      </c>
      <c r="E24" s="126" t="s">
        <v>12</v>
      </c>
      <c r="F24" s="128" t="s">
        <v>1788</v>
      </c>
    </row>
    <row r="25" spans="1:6" ht="19.5" customHeight="1" x14ac:dyDescent="0.25">
      <c r="A25" s="126" t="s">
        <v>154</v>
      </c>
      <c r="B25" s="126" t="s">
        <v>71</v>
      </c>
      <c r="C25" s="126" t="s">
        <v>141</v>
      </c>
      <c r="D25" s="127" t="s">
        <v>818</v>
      </c>
      <c r="E25" s="126" t="s">
        <v>152</v>
      </c>
      <c r="F25" s="128" t="s">
        <v>1778</v>
      </c>
    </row>
    <row r="26" spans="1:6" ht="19.5" customHeight="1" x14ac:dyDescent="0.25">
      <c r="A26" s="126" t="s">
        <v>1318</v>
      </c>
      <c r="B26" s="126" t="s">
        <v>71</v>
      </c>
      <c r="C26" s="126" t="s">
        <v>141</v>
      </c>
      <c r="D26" s="127" t="s">
        <v>1318</v>
      </c>
      <c r="E26" s="126" t="s">
        <v>14</v>
      </c>
      <c r="F26" s="128" t="s">
        <v>1772</v>
      </c>
    </row>
    <row r="27" spans="1:6" ht="19.5" customHeight="1" x14ac:dyDescent="0.25">
      <c r="A27" s="126" t="s">
        <v>154</v>
      </c>
      <c r="B27" s="126" t="s">
        <v>71</v>
      </c>
      <c r="C27" s="126" t="s">
        <v>141</v>
      </c>
      <c r="D27" s="127" t="s">
        <v>818</v>
      </c>
      <c r="E27" s="126" t="s">
        <v>152</v>
      </c>
      <c r="F27" s="128" t="s">
        <v>1778</v>
      </c>
    </row>
    <row r="28" spans="1:6" ht="19.5" customHeight="1" x14ac:dyDescent="0.25">
      <c r="A28" s="126" t="s">
        <v>1789</v>
      </c>
      <c r="B28" s="126" t="s">
        <v>71</v>
      </c>
      <c r="C28" s="126" t="s">
        <v>523</v>
      </c>
      <c r="D28" s="127" t="s">
        <v>1789</v>
      </c>
      <c r="E28" s="126" t="s">
        <v>13</v>
      </c>
      <c r="F28" s="128" t="s">
        <v>1786</v>
      </c>
    </row>
    <row r="29" spans="1:6" ht="19.5" customHeight="1" x14ac:dyDescent="0.25">
      <c r="A29" s="126" t="s">
        <v>1790</v>
      </c>
      <c r="B29" s="126" t="s">
        <v>71</v>
      </c>
      <c r="C29" s="126" t="s">
        <v>141</v>
      </c>
      <c r="D29" s="127" t="s">
        <v>1790</v>
      </c>
      <c r="E29" s="126" t="s">
        <v>7</v>
      </c>
      <c r="F29" s="128" t="s">
        <v>1791</v>
      </c>
    </row>
    <row r="30" spans="1:6" ht="19.5" customHeight="1" x14ac:dyDescent="0.25">
      <c r="A30" s="126" t="s">
        <v>154</v>
      </c>
      <c r="B30" s="126" t="s">
        <v>71</v>
      </c>
      <c r="C30" s="126" t="s">
        <v>141</v>
      </c>
      <c r="D30" s="127" t="s">
        <v>818</v>
      </c>
      <c r="E30" s="126" t="s">
        <v>7</v>
      </c>
      <c r="F30" s="128" t="s">
        <v>1778</v>
      </c>
    </row>
    <row r="31" spans="1:6" ht="19.5" customHeight="1" x14ac:dyDescent="0.25">
      <c r="A31" s="126" t="s">
        <v>1763</v>
      </c>
      <c r="B31" s="126" t="s">
        <v>71</v>
      </c>
      <c r="C31" s="126" t="s">
        <v>141</v>
      </c>
      <c r="D31" s="127" t="s">
        <v>1763</v>
      </c>
      <c r="E31" s="126" t="s">
        <v>6</v>
      </c>
      <c r="F31" s="128" t="s">
        <v>1760</v>
      </c>
    </row>
    <row r="32" spans="1:6" ht="19.5" customHeight="1" x14ac:dyDescent="0.25">
      <c r="A32" s="126" t="s">
        <v>1792</v>
      </c>
      <c r="B32" s="126" t="s">
        <v>71</v>
      </c>
      <c r="C32" s="126" t="s">
        <v>141</v>
      </c>
      <c r="D32" s="127" t="s">
        <v>1792</v>
      </c>
      <c r="E32" s="126" t="s">
        <v>19</v>
      </c>
      <c r="F32" s="128" t="s">
        <v>1771</v>
      </c>
    </row>
    <row r="33" spans="1:6" ht="19.5" customHeight="1" x14ac:dyDescent="0.25">
      <c r="A33" s="126" t="s">
        <v>154</v>
      </c>
      <c r="B33" s="126" t="s">
        <v>71</v>
      </c>
      <c r="C33" s="126" t="s">
        <v>141</v>
      </c>
      <c r="D33" s="127" t="s">
        <v>818</v>
      </c>
      <c r="E33" s="126" t="s">
        <v>7</v>
      </c>
      <c r="F33" s="128" t="s">
        <v>1778</v>
      </c>
    </row>
    <row r="34" spans="1:6" ht="19.5" customHeight="1" x14ac:dyDescent="0.25">
      <c r="A34" s="126" t="s">
        <v>154</v>
      </c>
      <c r="B34" s="126" t="s">
        <v>71</v>
      </c>
      <c r="C34" s="126" t="s">
        <v>141</v>
      </c>
      <c r="D34" s="127" t="s">
        <v>818</v>
      </c>
      <c r="E34" s="126" t="s">
        <v>152</v>
      </c>
      <c r="F34" s="128" t="s">
        <v>1778</v>
      </c>
    </row>
    <row r="35" spans="1:6" ht="19.5" customHeight="1" x14ac:dyDescent="0.25">
      <c r="A35" s="126" t="s">
        <v>1793</v>
      </c>
      <c r="B35" s="126" t="s">
        <v>72</v>
      </c>
      <c r="C35" s="126" t="s">
        <v>523</v>
      </c>
      <c r="D35" s="127" t="s">
        <v>1793</v>
      </c>
      <c r="E35" s="126" t="s">
        <v>23</v>
      </c>
      <c r="F35" s="128" t="s">
        <v>306</v>
      </c>
    </row>
    <row r="36" spans="1:6" ht="19.5" customHeight="1" x14ac:dyDescent="0.25">
      <c r="A36" s="126" t="s">
        <v>1794</v>
      </c>
      <c r="B36" s="126" t="s">
        <v>71</v>
      </c>
      <c r="C36" s="126" t="s">
        <v>141</v>
      </c>
      <c r="D36" s="127" t="s">
        <v>1794</v>
      </c>
      <c r="E36" s="126" t="s">
        <v>9</v>
      </c>
      <c r="F36" s="128" t="s">
        <v>1771</v>
      </c>
    </row>
    <row r="37" spans="1:6" ht="19.5" customHeight="1" x14ac:dyDescent="0.25">
      <c r="A37" s="126" t="s">
        <v>154</v>
      </c>
      <c r="B37" s="126" t="s">
        <v>71</v>
      </c>
      <c r="C37" s="126" t="s">
        <v>141</v>
      </c>
      <c r="D37" s="127" t="s">
        <v>818</v>
      </c>
      <c r="E37" s="126" t="s">
        <v>152</v>
      </c>
      <c r="F37" s="128" t="s">
        <v>1778</v>
      </c>
    </row>
    <row r="38" spans="1:6" ht="19.5" customHeight="1" x14ac:dyDescent="0.25">
      <c r="A38" s="126" t="s">
        <v>1795</v>
      </c>
      <c r="B38" s="126" t="s">
        <v>71</v>
      </c>
      <c r="C38" s="126" t="s">
        <v>523</v>
      </c>
      <c r="D38" s="127" t="s">
        <v>1795</v>
      </c>
      <c r="E38" s="126" t="s">
        <v>6</v>
      </c>
      <c r="F38" s="128" t="s">
        <v>1760</v>
      </c>
    </row>
    <row r="39" spans="1:6" ht="19.5" customHeight="1" x14ac:dyDescent="0.25">
      <c r="A39" s="126" t="s">
        <v>1118</v>
      </c>
      <c r="B39" s="126" t="s">
        <v>71</v>
      </c>
      <c r="C39" s="126" t="s">
        <v>141</v>
      </c>
      <c r="D39" s="127" t="s">
        <v>1118</v>
      </c>
      <c r="E39" s="126" t="s">
        <v>152</v>
      </c>
      <c r="F39" s="128" t="s">
        <v>1778</v>
      </c>
    </row>
    <row r="40" spans="1:6" ht="19.5" customHeight="1" x14ac:dyDescent="0.25">
      <c r="A40" s="126" t="s">
        <v>1796</v>
      </c>
      <c r="B40" s="126" t="s">
        <v>71</v>
      </c>
      <c r="C40" s="126" t="s">
        <v>141</v>
      </c>
      <c r="D40" s="127" t="s">
        <v>818</v>
      </c>
      <c r="E40" s="126" t="s">
        <v>152</v>
      </c>
      <c r="F40" s="128" t="s">
        <v>1778</v>
      </c>
    </row>
    <row r="41" spans="1:6" ht="19.5" customHeight="1" x14ac:dyDescent="0.25">
      <c r="A41" s="126" t="s">
        <v>1797</v>
      </c>
      <c r="B41" s="126" t="s">
        <v>71</v>
      </c>
      <c r="C41" s="126" t="s">
        <v>141</v>
      </c>
      <c r="D41" s="127" t="s">
        <v>1797</v>
      </c>
      <c r="E41" s="126" t="s">
        <v>10</v>
      </c>
      <c r="F41" s="128" t="s">
        <v>1767</v>
      </c>
    </row>
    <row r="42" spans="1:6" ht="19.5" customHeight="1" x14ac:dyDescent="0.25">
      <c r="A42" s="126" t="s">
        <v>140</v>
      </c>
      <c r="B42" s="126" t="s">
        <v>71</v>
      </c>
      <c r="C42" s="126" t="s">
        <v>141</v>
      </c>
      <c r="D42" s="127" t="s">
        <v>140</v>
      </c>
      <c r="E42" s="126" t="s">
        <v>6</v>
      </c>
      <c r="F42" s="128" t="s">
        <v>1771</v>
      </c>
    </row>
    <row r="43" spans="1:6" ht="19.5" customHeight="1" x14ac:dyDescent="0.25">
      <c r="A43" s="126" t="s">
        <v>1798</v>
      </c>
      <c r="B43" s="126" t="s">
        <v>71</v>
      </c>
      <c r="C43" s="126" t="s">
        <v>141</v>
      </c>
      <c r="D43" s="127" t="s">
        <v>1799</v>
      </c>
      <c r="E43" s="126" t="s">
        <v>10</v>
      </c>
      <c r="F43" s="128" t="s">
        <v>1771</v>
      </c>
    </row>
    <row r="44" spans="1:6" ht="19.5" customHeight="1" x14ac:dyDescent="0.25">
      <c r="A44" s="126" t="s">
        <v>1798</v>
      </c>
      <c r="B44" s="126" t="s">
        <v>71</v>
      </c>
      <c r="C44" s="126" t="s">
        <v>141</v>
      </c>
      <c r="D44" s="127" t="s">
        <v>1799</v>
      </c>
      <c r="E44" s="126" t="s">
        <v>7</v>
      </c>
      <c r="F44" s="128" t="s">
        <v>1771</v>
      </c>
    </row>
    <row r="45" spans="1:6" ht="19.5" customHeight="1" x14ac:dyDescent="0.25">
      <c r="A45" s="126" t="s">
        <v>1794</v>
      </c>
      <c r="B45" s="126" t="s">
        <v>71</v>
      </c>
      <c r="C45" s="126" t="s">
        <v>141</v>
      </c>
      <c r="D45" s="127" t="s">
        <v>1794</v>
      </c>
      <c r="E45" s="126" t="s">
        <v>10</v>
      </c>
      <c r="F45" s="128" t="s">
        <v>1771</v>
      </c>
    </row>
    <row r="46" spans="1:6" ht="19.5" customHeight="1" x14ac:dyDescent="0.25">
      <c r="A46" s="126" t="s">
        <v>339</v>
      </c>
      <c r="B46" s="126" t="s">
        <v>71</v>
      </c>
      <c r="C46" s="126" t="s">
        <v>141</v>
      </c>
      <c r="D46" s="127" t="s">
        <v>339</v>
      </c>
      <c r="E46" s="126" t="s">
        <v>6</v>
      </c>
      <c r="F46" s="128" t="s">
        <v>1760</v>
      </c>
    </row>
    <row r="47" spans="1:6" ht="19.5" customHeight="1" x14ac:dyDescent="0.25">
      <c r="A47" s="126" t="s">
        <v>1800</v>
      </c>
      <c r="B47" s="126" t="s">
        <v>72</v>
      </c>
      <c r="C47" s="126" t="s">
        <v>523</v>
      </c>
      <c r="D47" s="127" t="s">
        <v>1801</v>
      </c>
      <c r="E47" s="126" t="s">
        <v>6</v>
      </c>
      <c r="F47" s="128" t="s">
        <v>1760</v>
      </c>
    </row>
    <row r="48" spans="1:6" ht="19.5" customHeight="1" x14ac:dyDescent="0.25">
      <c r="A48" s="126" t="s">
        <v>1799</v>
      </c>
      <c r="B48" s="126" t="s">
        <v>71</v>
      </c>
      <c r="C48" s="126" t="s">
        <v>141</v>
      </c>
      <c r="D48" s="127" t="s">
        <v>1799</v>
      </c>
      <c r="E48" s="126" t="s">
        <v>7</v>
      </c>
      <c r="F48" s="128" t="s">
        <v>1771</v>
      </c>
    </row>
    <row r="49" spans="1:6" ht="19.5" customHeight="1" x14ac:dyDescent="0.25">
      <c r="A49" s="126" t="s">
        <v>1798</v>
      </c>
      <c r="B49" s="126" t="s">
        <v>71</v>
      </c>
      <c r="C49" s="126" t="s">
        <v>141</v>
      </c>
      <c r="D49" s="127" t="s">
        <v>1799</v>
      </c>
      <c r="E49" s="126" t="s">
        <v>9</v>
      </c>
      <c r="F49" s="128" t="s">
        <v>1771</v>
      </c>
    </row>
    <row r="50" spans="1:6" ht="19.5" customHeight="1" x14ac:dyDescent="0.25">
      <c r="A50" s="126" t="s">
        <v>1802</v>
      </c>
      <c r="B50" s="126" t="s">
        <v>71</v>
      </c>
      <c r="C50" s="126" t="s">
        <v>523</v>
      </c>
      <c r="D50" s="127" t="s">
        <v>1802</v>
      </c>
      <c r="E50" s="126" t="s">
        <v>6</v>
      </c>
      <c r="F50" s="127" t="s">
        <v>1760</v>
      </c>
    </row>
    <row r="51" spans="1:6" ht="19.5" customHeight="1" x14ac:dyDescent="0.25">
      <c r="A51" s="126" t="s">
        <v>1792</v>
      </c>
      <c r="B51" s="126" t="s">
        <v>72</v>
      </c>
      <c r="C51" s="126" t="s">
        <v>141</v>
      </c>
      <c r="D51" s="127" t="s">
        <v>1792</v>
      </c>
      <c r="E51" s="126" t="s">
        <v>15</v>
      </c>
      <c r="F51" s="127" t="s">
        <v>1771</v>
      </c>
    </row>
    <row r="52" spans="1:6" ht="19.5" customHeight="1" x14ac:dyDescent="0.25">
      <c r="A52" s="126" t="s">
        <v>1799</v>
      </c>
      <c r="B52" s="126" t="s">
        <v>71</v>
      </c>
      <c r="C52" s="126" t="s">
        <v>141</v>
      </c>
      <c r="D52" s="127" t="s">
        <v>1799</v>
      </c>
      <c r="E52" s="126" t="s">
        <v>6</v>
      </c>
      <c r="F52" s="127" t="s">
        <v>1771</v>
      </c>
    </row>
    <row r="53" spans="1:6" ht="19.5" customHeight="1" x14ac:dyDescent="0.25">
      <c r="A53" s="126" t="s">
        <v>1803</v>
      </c>
      <c r="B53" s="126" t="s">
        <v>71</v>
      </c>
      <c r="C53" s="126" t="s">
        <v>523</v>
      </c>
      <c r="D53" t="s">
        <v>1832</v>
      </c>
      <c r="E53" s="126" t="s">
        <v>7</v>
      </c>
      <c r="F53" s="127" t="s">
        <v>306</v>
      </c>
    </row>
    <row r="54" spans="1:6" ht="19.5" customHeight="1" x14ac:dyDescent="0.25">
      <c r="A54" s="126" t="s">
        <v>1804</v>
      </c>
      <c r="B54" s="126" t="s">
        <v>71</v>
      </c>
      <c r="C54" s="126" t="s">
        <v>141</v>
      </c>
      <c r="D54" s="127" t="s">
        <v>1804</v>
      </c>
      <c r="E54" s="126" t="s">
        <v>6</v>
      </c>
      <c r="F54" s="127" t="s">
        <v>1760</v>
      </c>
    </row>
    <row r="55" spans="1:6" ht="19.5" customHeight="1" x14ac:dyDescent="0.25">
      <c r="A55" s="126" t="s">
        <v>1805</v>
      </c>
      <c r="B55" s="126" t="s">
        <v>71</v>
      </c>
      <c r="C55" s="126" t="s">
        <v>523</v>
      </c>
      <c r="D55" s="127" t="s">
        <v>1805</v>
      </c>
      <c r="E55" s="126" t="s">
        <v>6</v>
      </c>
      <c r="F55" s="127" t="s">
        <v>1760</v>
      </c>
    </row>
    <row r="56" spans="1:6" ht="19.5" customHeight="1" x14ac:dyDescent="0.25">
      <c r="A56" s="126" t="s">
        <v>1805</v>
      </c>
      <c r="B56" s="126" t="s">
        <v>71</v>
      </c>
      <c r="C56" s="126" t="s">
        <v>523</v>
      </c>
      <c r="D56" s="127" t="s">
        <v>1805</v>
      </c>
      <c r="E56" s="126" t="s">
        <v>6</v>
      </c>
      <c r="F56" s="127" t="s">
        <v>1760</v>
      </c>
    </row>
    <row r="57" spans="1:6" ht="19.5" customHeight="1" x14ac:dyDescent="0.25">
      <c r="A57" s="126" t="s">
        <v>1806</v>
      </c>
      <c r="B57" s="126" t="s">
        <v>71</v>
      </c>
      <c r="C57" s="126" t="s">
        <v>306</v>
      </c>
      <c r="D57" s="127" t="s">
        <v>1806</v>
      </c>
      <c r="E57" s="126" t="s">
        <v>7</v>
      </c>
      <c r="F57" s="127" t="s">
        <v>306</v>
      </c>
    </row>
    <row r="58" spans="1:6" ht="19.5" customHeight="1" x14ac:dyDescent="0.25">
      <c r="A58" s="126" t="s">
        <v>306</v>
      </c>
      <c r="B58" s="126" t="s">
        <v>71</v>
      </c>
      <c r="C58" s="126" t="s">
        <v>306</v>
      </c>
      <c r="D58" s="127" t="s">
        <v>306</v>
      </c>
      <c r="E58" s="126" t="s">
        <v>7</v>
      </c>
      <c r="F58" s="127" t="s">
        <v>306</v>
      </c>
    </row>
    <row r="59" spans="1:6" ht="19.5" customHeight="1" x14ac:dyDescent="0.25">
      <c r="A59" s="126" t="s">
        <v>154</v>
      </c>
      <c r="B59" s="126" t="s">
        <v>71</v>
      </c>
      <c r="C59" s="126" t="s">
        <v>141</v>
      </c>
      <c r="D59" s="127" t="s">
        <v>818</v>
      </c>
      <c r="E59" s="126" t="s">
        <v>152</v>
      </c>
      <c r="F59" s="127" t="s">
        <v>1778</v>
      </c>
    </row>
    <row r="60" spans="1:6" ht="19.5" customHeight="1" x14ac:dyDescent="0.25">
      <c r="A60" s="126" t="s">
        <v>154</v>
      </c>
      <c r="B60" s="126" t="s">
        <v>71</v>
      </c>
      <c r="C60" s="126" t="s">
        <v>141</v>
      </c>
      <c r="D60" s="127" t="s">
        <v>818</v>
      </c>
      <c r="E60" s="126" t="s">
        <v>8</v>
      </c>
      <c r="F60" s="127" t="s">
        <v>1778</v>
      </c>
    </row>
    <row r="61" spans="1:6" ht="19.5" customHeight="1" x14ac:dyDescent="0.25">
      <c r="A61" s="126" t="s">
        <v>154</v>
      </c>
      <c r="B61" s="126" t="s">
        <v>71</v>
      </c>
      <c r="C61" s="126" t="s">
        <v>141</v>
      </c>
      <c r="D61" s="127" t="s">
        <v>818</v>
      </c>
      <c r="E61" s="126" t="s">
        <v>152</v>
      </c>
      <c r="F61" s="127" t="s">
        <v>1778</v>
      </c>
    </row>
    <row r="62" spans="1:6" ht="19.5" customHeight="1" x14ac:dyDescent="0.25">
      <c r="A62" s="126" t="s">
        <v>1118</v>
      </c>
      <c r="B62" s="126" t="s">
        <v>71</v>
      </c>
      <c r="C62" s="126" t="s">
        <v>141</v>
      </c>
      <c r="D62" s="127" t="s">
        <v>1118</v>
      </c>
      <c r="E62" s="126" t="s">
        <v>152</v>
      </c>
      <c r="F62" s="127" t="s">
        <v>1778</v>
      </c>
    </row>
    <row r="63" spans="1:6" ht="19.5" customHeight="1" x14ac:dyDescent="0.25">
      <c r="A63" s="126" t="s">
        <v>1118</v>
      </c>
      <c r="B63" s="126" t="s">
        <v>71</v>
      </c>
      <c r="C63" s="126" t="s">
        <v>141</v>
      </c>
      <c r="D63" s="127" t="s">
        <v>1118</v>
      </c>
      <c r="E63" s="126" t="s">
        <v>9</v>
      </c>
      <c r="F63" s="127" t="s">
        <v>1778</v>
      </c>
    </row>
    <row r="64" spans="1:6" ht="19.5" customHeight="1" x14ac:dyDescent="0.25">
      <c r="A64" s="126" t="s">
        <v>1807</v>
      </c>
      <c r="B64" s="126" t="s">
        <v>71</v>
      </c>
      <c r="C64" s="126" t="s">
        <v>306</v>
      </c>
      <c r="D64" s="127" t="s">
        <v>1807</v>
      </c>
      <c r="E64" s="126" t="s">
        <v>6</v>
      </c>
      <c r="F64" s="127" t="s">
        <v>306</v>
      </c>
    </row>
    <row r="65" spans="1:6" ht="19.5" customHeight="1" x14ac:dyDescent="0.25">
      <c r="A65" s="126" t="s">
        <v>1808</v>
      </c>
      <c r="B65" s="126" t="s">
        <v>71</v>
      </c>
      <c r="C65" s="126" t="s">
        <v>523</v>
      </c>
      <c r="D65" s="127" t="s">
        <v>1808</v>
      </c>
      <c r="E65" s="126" t="s">
        <v>17</v>
      </c>
      <c r="F65" s="128" t="s">
        <v>1776</v>
      </c>
    </row>
    <row r="66" spans="1:6" ht="19.5" customHeight="1" x14ac:dyDescent="0.25">
      <c r="A66" s="126" t="s">
        <v>1809</v>
      </c>
      <c r="B66" s="126" t="s">
        <v>71</v>
      </c>
      <c r="C66" s="126" t="s">
        <v>523</v>
      </c>
      <c r="D66" s="127" t="s">
        <v>1809</v>
      </c>
      <c r="E66" s="126" t="s">
        <v>6</v>
      </c>
      <c r="F66" s="127" t="s">
        <v>1760</v>
      </c>
    </row>
    <row r="67" spans="1:6" ht="19.5" customHeight="1" x14ac:dyDescent="0.25">
      <c r="A67" s="126" t="s">
        <v>154</v>
      </c>
      <c r="B67" s="126" t="s">
        <v>71</v>
      </c>
      <c r="C67" s="126" t="s">
        <v>141</v>
      </c>
      <c r="D67" s="127" t="s">
        <v>818</v>
      </c>
      <c r="E67" s="126" t="s">
        <v>7</v>
      </c>
      <c r="F67" s="127" t="s">
        <v>1778</v>
      </c>
    </row>
    <row r="68" spans="1:6" ht="19.5" customHeight="1" x14ac:dyDescent="0.25">
      <c r="A68" s="126" t="s">
        <v>154</v>
      </c>
      <c r="B68" s="126" t="s">
        <v>71</v>
      </c>
      <c r="C68" s="126" t="s">
        <v>141</v>
      </c>
      <c r="D68" s="127" t="s">
        <v>818</v>
      </c>
      <c r="E68" s="126" t="s">
        <v>152</v>
      </c>
      <c r="F68" s="127" t="s">
        <v>1778</v>
      </c>
    </row>
    <row r="69" spans="1:6" ht="19.5" customHeight="1" x14ac:dyDescent="0.25">
      <c r="A69" s="126" t="s">
        <v>1810</v>
      </c>
      <c r="B69" s="126" t="s">
        <v>72</v>
      </c>
      <c r="C69" s="126" t="s">
        <v>523</v>
      </c>
      <c r="D69" s="127" t="s">
        <v>1810</v>
      </c>
      <c r="E69" s="126" t="s">
        <v>6</v>
      </c>
      <c r="F69" s="127" t="s">
        <v>1760</v>
      </c>
    </row>
    <row r="70" spans="1:6" ht="19.5" customHeight="1" x14ac:dyDescent="0.25">
      <c r="A70" s="126" t="s">
        <v>1811</v>
      </c>
      <c r="B70" s="126" t="s">
        <v>71</v>
      </c>
      <c r="C70" s="126" t="s">
        <v>523</v>
      </c>
      <c r="D70" s="127" t="s">
        <v>1811</v>
      </c>
      <c r="E70" s="126" t="s">
        <v>23</v>
      </c>
      <c r="F70" s="127" t="s">
        <v>1812</v>
      </c>
    </row>
    <row r="71" spans="1:6" ht="19.5" customHeight="1" x14ac:dyDescent="0.25">
      <c r="A71" s="126" t="s">
        <v>1813</v>
      </c>
      <c r="B71" s="126" t="s">
        <v>71</v>
      </c>
      <c r="C71" s="126" t="s">
        <v>523</v>
      </c>
      <c r="D71" s="127" t="s">
        <v>1813</v>
      </c>
      <c r="E71" s="126" t="s">
        <v>19</v>
      </c>
      <c r="F71" s="127" t="s">
        <v>1814</v>
      </c>
    </row>
    <row r="72" spans="1:6" ht="19.5" customHeight="1" x14ac:dyDescent="0.25">
      <c r="A72" s="126" t="s">
        <v>339</v>
      </c>
      <c r="B72" s="126" t="s">
        <v>71</v>
      </c>
      <c r="C72" s="126" t="s">
        <v>141</v>
      </c>
      <c r="D72" s="127" t="s">
        <v>339</v>
      </c>
      <c r="E72" s="126" t="s">
        <v>6</v>
      </c>
      <c r="F72" s="127" t="s">
        <v>1760</v>
      </c>
    </row>
    <row r="73" spans="1:6" ht="19.5" customHeight="1" x14ac:dyDescent="0.25">
      <c r="A73" s="126" t="s">
        <v>1009</v>
      </c>
      <c r="B73" s="126" t="s">
        <v>71</v>
      </c>
      <c r="C73" s="126" t="s">
        <v>306</v>
      </c>
      <c r="D73" s="127" t="s">
        <v>1009</v>
      </c>
      <c r="E73" s="126" t="s">
        <v>17</v>
      </c>
      <c r="F73" s="127" t="s">
        <v>306</v>
      </c>
    </row>
    <row r="74" spans="1:6" ht="19.5" customHeight="1" x14ac:dyDescent="0.25">
      <c r="A74" s="126" t="s">
        <v>1696</v>
      </c>
      <c r="B74" s="126" t="s">
        <v>71</v>
      </c>
      <c r="C74" s="126" t="s">
        <v>523</v>
      </c>
      <c r="D74" s="127" t="s">
        <v>1696</v>
      </c>
      <c r="E74" s="126" t="s">
        <v>8</v>
      </c>
      <c r="F74" s="127" t="s">
        <v>1815</v>
      </c>
    </row>
    <row r="75" spans="1:6" ht="19.5" customHeight="1" x14ac:dyDescent="0.25">
      <c r="A75" s="126" t="s">
        <v>608</v>
      </c>
      <c r="B75" s="126" t="s">
        <v>71</v>
      </c>
      <c r="C75" s="126" t="s">
        <v>141</v>
      </c>
      <c r="D75" s="127" t="s">
        <v>1799</v>
      </c>
      <c r="E75" s="126" t="s">
        <v>5</v>
      </c>
      <c r="F75" s="127" t="s">
        <v>1771</v>
      </c>
    </row>
    <row r="76" spans="1:6" ht="19.5" customHeight="1" x14ac:dyDescent="0.25">
      <c r="A76" s="126" t="s">
        <v>1816</v>
      </c>
      <c r="B76" s="126" t="s">
        <v>71</v>
      </c>
      <c r="C76" s="126" t="s">
        <v>523</v>
      </c>
      <c r="D76" s="127" t="s">
        <v>1816</v>
      </c>
      <c r="E76" s="126" t="s">
        <v>6</v>
      </c>
      <c r="F76" s="127" t="s">
        <v>1760</v>
      </c>
    </row>
    <row r="77" spans="1:6" ht="19.5" customHeight="1" x14ac:dyDescent="0.25">
      <c r="A77" s="126" t="s">
        <v>608</v>
      </c>
      <c r="B77" s="126" t="s">
        <v>72</v>
      </c>
      <c r="C77" s="126" t="s">
        <v>141</v>
      </c>
      <c r="D77" s="127" t="s">
        <v>1799</v>
      </c>
      <c r="E77" s="126" t="s">
        <v>7</v>
      </c>
      <c r="F77" s="127" t="s">
        <v>1771</v>
      </c>
    </row>
    <row r="78" spans="1:6" ht="19.5" customHeight="1" x14ac:dyDescent="0.25">
      <c r="A78" s="126" t="s">
        <v>1817</v>
      </c>
      <c r="B78" s="126" t="s">
        <v>71</v>
      </c>
      <c r="C78" s="126" t="s">
        <v>141</v>
      </c>
      <c r="D78" s="127" t="s">
        <v>1799</v>
      </c>
      <c r="E78" s="126" t="s">
        <v>5</v>
      </c>
      <c r="F78" s="127" t="s">
        <v>1771</v>
      </c>
    </row>
    <row r="79" spans="1:6" ht="19.5" customHeight="1" x14ac:dyDescent="0.25">
      <c r="A79" s="126" t="s">
        <v>154</v>
      </c>
      <c r="B79" s="126" t="s">
        <v>71</v>
      </c>
      <c r="C79" s="126" t="s">
        <v>141</v>
      </c>
      <c r="D79" s="127" t="s">
        <v>818</v>
      </c>
      <c r="E79" s="126" t="s">
        <v>7</v>
      </c>
      <c r="F79" s="127" t="s">
        <v>1778</v>
      </c>
    </row>
    <row r="80" spans="1:6" ht="19.5" customHeight="1" x14ac:dyDescent="0.25">
      <c r="A80" s="126" t="s">
        <v>1118</v>
      </c>
      <c r="B80" s="126" t="s">
        <v>71</v>
      </c>
      <c r="C80" s="126" t="s">
        <v>141</v>
      </c>
      <c r="D80" s="127" t="s">
        <v>1118</v>
      </c>
      <c r="E80" s="126" t="s">
        <v>7</v>
      </c>
      <c r="F80" s="127" t="s">
        <v>1778</v>
      </c>
    </row>
    <row r="81" spans="1:7" ht="19.5" customHeight="1" x14ac:dyDescent="0.25">
      <c r="A81" s="126" t="s">
        <v>154</v>
      </c>
      <c r="B81" s="126" t="s">
        <v>71</v>
      </c>
      <c r="C81" s="126" t="s">
        <v>141</v>
      </c>
      <c r="D81" s="127" t="s">
        <v>818</v>
      </c>
      <c r="E81" s="126" t="s">
        <v>8</v>
      </c>
      <c r="F81" s="127" t="s">
        <v>1778</v>
      </c>
    </row>
    <row r="82" spans="1:7" ht="19.5" customHeight="1" x14ac:dyDescent="0.25">
      <c r="A82" s="126" t="s">
        <v>1118</v>
      </c>
      <c r="B82" s="126" t="s">
        <v>71</v>
      </c>
      <c r="C82" s="126" t="s">
        <v>141</v>
      </c>
      <c r="D82" s="127" t="s">
        <v>1118</v>
      </c>
      <c r="E82" s="126" t="s">
        <v>6</v>
      </c>
      <c r="F82" s="127" t="s">
        <v>1778</v>
      </c>
    </row>
    <row r="83" spans="1:7" ht="19.5" customHeight="1" x14ac:dyDescent="0.25">
      <c r="A83" s="126" t="s">
        <v>1818</v>
      </c>
      <c r="B83" s="126" t="s">
        <v>71</v>
      </c>
      <c r="C83" s="126" t="s">
        <v>523</v>
      </c>
      <c r="D83" s="127" t="s">
        <v>1818</v>
      </c>
      <c r="E83" s="126" t="s">
        <v>5</v>
      </c>
      <c r="F83" s="127" t="s">
        <v>1819</v>
      </c>
    </row>
    <row r="84" spans="1:7" ht="19.5" customHeight="1" x14ac:dyDescent="0.25">
      <c r="A84" s="126" t="s">
        <v>154</v>
      </c>
      <c r="B84" s="126" t="s">
        <v>71</v>
      </c>
      <c r="C84" s="126" t="s">
        <v>141</v>
      </c>
      <c r="D84" s="127" t="s">
        <v>818</v>
      </c>
      <c r="E84" s="126" t="s">
        <v>152</v>
      </c>
      <c r="F84" s="127" t="s">
        <v>1778</v>
      </c>
    </row>
    <row r="85" spans="1:7" ht="19.5" customHeight="1" x14ac:dyDescent="0.25">
      <c r="A85" s="126" t="s">
        <v>154</v>
      </c>
      <c r="B85" s="126" t="s">
        <v>71</v>
      </c>
      <c r="C85" s="126" t="s">
        <v>141</v>
      </c>
      <c r="D85" s="127" t="s">
        <v>818</v>
      </c>
      <c r="E85" s="126" t="s">
        <v>152</v>
      </c>
      <c r="F85" s="127" t="s">
        <v>1778</v>
      </c>
    </row>
    <row r="86" spans="1:7" ht="19.5" customHeight="1" x14ac:dyDescent="0.25">
      <c r="A86" s="126" t="s">
        <v>1820</v>
      </c>
      <c r="B86" s="126" t="s">
        <v>71</v>
      </c>
      <c r="C86" s="126" t="s">
        <v>523</v>
      </c>
      <c r="D86" s="127" t="s">
        <v>1820</v>
      </c>
      <c r="E86" s="126" t="s">
        <v>10</v>
      </c>
      <c r="F86" s="127" t="s">
        <v>306</v>
      </c>
    </row>
    <row r="87" spans="1:7" ht="19.5" customHeight="1" x14ac:dyDescent="0.25">
      <c r="A87" s="126" t="s">
        <v>140</v>
      </c>
      <c r="B87" s="126" t="s">
        <v>71</v>
      </c>
      <c r="C87" s="126" t="s">
        <v>141</v>
      </c>
      <c r="D87" s="127" t="s">
        <v>140</v>
      </c>
      <c r="E87" s="126" t="s">
        <v>7</v>
      </c>
      <c r="F87" s="127" t="s">
        <v>1771</v>
      </c>
    </row>
    <row r="88" spans="1:7" ht="19.5" customHeight="1" x14ac:dyDescent="0.25">
      <c r="A88" s="126" t="s">
        <v>1009</v>
      </c>
      <c r="B88" s="126" t="s">
        <v>71</v>
      </c>
      <c r="C88" s="126" t="s">
        <v>306</v>
      </c>
      <c r="D88" s="127" t="s">
        <v>1009</v>
      </c>
      <c r="E88" s="126" t="s">
        <v>17</v>
      </c>
      <c r="F88" s="127" t="s">
        <v>306</v>
      </c>
    </row>
    <row r="89" spans="1:7" ht="19.5" customHeight="1" x14ac:dyDescent="0.25">
      <c r="A89" s="126" t="s">
        <v>1821</v>
      </c>
      <c r="B89" s="126" t="s">
        <v>71</v>
      </c>
      <c r="C89" s="126" t="s">
        <v>523</v>
      </c>
      <c r="D89" s="127" t="s">
        <v>1821</v>
      </c>
      <c r="E89" s="126" t="s">
        <v>23</v>
      </c>
      <c r="F89" s="127" t="s">
        <v>306</v>
      </c>
    </row>
    <row r="90" spans="1:7" ht="19.5" customHeight="1" x14ac:dyDescent="0.25">
      <c r="A90" s="126" t="s">
        <v>1817</v>
      </c>
      <c r="B90" s="126" t="s">
        <v>72</v>
      </c>
      <c r="C90" s="126" t="s">
        <v>141</v>
      </c>
      <c r="D90" s="127" t="s">
        <v>1799</v>
      </c>
      <c r="E90" s="126" t="s">
        <v>8</v>
      </c>
      <c r="F90" s="127" t="s">
        <v>1771</v>
      </c>
    </row>
    <row r="91" spans="1:7" ht="19.5" customHeight="1" x14ac:dyDescent="0.25">
      <c r="A91" s="126" t="s">
        <v>1822</v>
      </c>
      <c r="B91" s="126" t="s">
        <v>71</v>
      </c>
      <c r="C91" s="126" t="s">
        <v>523</v>
      </c>
      <c r="D91" s="127" t="s">
        <v>1822</v>
      </c>
      <c r="E91" s="126" t="s">
        <v>11</v>
      </c>
      <c r="F91" s="127" t="s">
        <v>1823</v>
      </c>
    </row>
    <row r="92" spans="1:7" ht="19.5" customHeight="1" x14ac:dyDescent="0.25">
      <c r="A92" s="126" t="s">
        <v>1824</v>
      </c>
      <c r="B92" s="126" t="s">
        <v>71</v>
      </c>
      <c r="C92" s="126" t="s">
        <v>306</v>
      </c>
      <c r="D92" s="127" t="s">
        <v>1824</v>
      </c>
      <c r="E92" s="126" t="s">
        <v>16</v>
      </c>
      <c r="F92" s="127" t="s">
        <v>306</v>
      </c>
    </row>
    <row r="93" spans="1:7" ht="19.5" customHeight="1" x14ac:dyDescent="0.25">
      <c r="A93" s="126" t="s">
        <v>1825</v>
      </c>
      <c r="B93" s="126" t="s">
        <v>71</v>
      </c>
      <c r="C93" s="126" t="s">
        <v>523</v>
      </c>
      <c r="D93" s="127" t="s">
        <v>1825</v>
      </c>
      <c r="E93" s="126" t="s">
        <v>11</v>
      </c>
      <c r="F93" s="127" t="s">
        <v>306</v>
      </c>
    </row>
    <row r="94" spans="1:7" ht="19.5" customHeight="1" x14ac:dyDescent="0.25">
      <c r="A94" s="126" t="s">
        <v>1826</v>
      </c>
      <c r="B94" s="126" t="s">
        <v>72</v>
      </c>
      <c r="C94" s="126" t="s">
        <v>141</v>
      </c>
      <c r="D94" s="127" t="s">
        <v>1826</v>
      </c>
      <c r="E94" s="126" t="s">
        <v>6</v>
      </c>
      <c r="F94" t="s">
        <v>1827</v>
      </c>
      <c r="G94" s="128" t="s">
        <v>93</v>
      </c>
    </row>
    <row r="95" spans="1:7" ht="19.5" customHeight="1" x14ac:dyDescent="0.25">
      <c r="A95" s="126" t="s">
        <v>1758</v>
      </c>
      <c r="B95" s="126" t="s">
        <v>72</v>
      </c>
      <c r="C95" s="126" t="s">
        <v>306</v>
      </c>
      <c r="D95" s="127" t="s">
        <v>1758</v>
      </c>
      <c r="E95" s="126" t="s">
        <v>9</v>
      </c>
      <c r="F95" s="127" t="s">
        <v>306</v>
      </c>
    </row>
    <row r="96" spans="1:7" ht="19.5" customHeight="1" thickBot="1" x14ac:dyDescent="0.3">
      <c r="A96" s="129" t="s">
        <v>1828</v>
      </c>
      <c r="B96" s="129" t="s">
        <v>71</v>
      </c>
      <c r="C96" s="129" t="s">
        <v>141</v>
      </c>
      <c r="D96" s="127" t="s">
        <v>1828</v>
      </c>
      <c r="E96" s="129" t="s">
        <v>18</v>
      </c>
      <c r="F96" s="127" t="s">
        <v>1828</v>
      </c>
    </row>
  </sheetData>
  <autoFilter ref="A1:F1" xr:uid="{06ED9EF2-BC72-4793-88BE-9BFE914483F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10</vt:i4>
      </vt:variant>
    </vt:vector>
  </HeadingPairs>
  <TitlesOfParts>
    <vt:vector size="10" baseType="lpstr">
      <vt:lpstr>Geral</vt:lpstr>
      <vt:lpstr>Local</vt:lpstr>
      <vt:lpstr>Estados</vt:lpstr>
      <vt:lpstr>Região</vt:lpstr>
      <vt:lpstr>Julgamentos</vt:lpstr>
      <vt:lpstr>Conmebol</vt:lpstr>
      <vt:lpstr>Gênero</vt:lpstr>
      <vt:lpstr>Competições</vt:lpstr>
      <vt:lpstr>DADOS</vt: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Observatorio DRF</dc:creator>
  <cp:lastModifiedBy>Observatorio DRF</cp:lastModifiedBy>
  <dcterms:created xsi:type="dcterms:W3CDTF">2026-06-04T11:37:55Z</dcterms:created>
  <dcterms:modified xsi:type="dcterms:W3CDTF">2026-09-02T14:58:45Z</dcterms:modified>
</cp:coreProperties>
</file>